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tokumoto.susumu\Documents\Dropbox\research\prml\"/>
    </mc:Choice>
  </mc:AlternateContent>
  <bookViews>
    <workbookView xWindow="0" yWindow="0" windowWidth="23250" windowHeight="13170"/>
  </bookViews>
  <sheets>
    <sheet name="data" sheetId="1" r:id="rId1"/>
    <sheet name="dmatrix" sheetId="3" r:id="rId2"/>
    <sheet name="trans" sheetId="4" r:id="rId3"/>
    <sheet name="multi" sheetId="5" r:id="rId4"/>
    <sheet name="inv" sheetId="6" r:id="rId5"/>
    <sheet name="MPmatrix" sheetId="7" r:id="rId6"/>
    <sheet name="w_ML" sheetId="8" r:id="rId7"/>
    <sheet name="regular" sheetId="10" r:id="rId8"/>
    <sheet name="plus" sheetId="11" r:id="rId9"/>
    <sheet name="inv2" sheetId="12" r:id="rId10"/>
    <sheet name="MPmatrix2" sheetId="13" r:id="rId11"/>
    <sheet name="w_ML2" sheetId="14" r:id="rId12"/>
    <sheet name="seq" sheetId="15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2" i="1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2" i="3"/>
  <c r="A2" i="10" l="1"/>
  <c r="B2" i="10"/>
  <c r="C2" i="10"/>
  <c r="D2" i="10"/>
  <c r="E2" i="10"/>
  <c r="F2" i="10"/>
  <c r="G2" i="10"/>
  <c r="H2" i="10"/>
  <c r="I2" i="10"/>
  <c r="A3" i="10"/>
  <c r="B3" i="10"/>
  <c r="C3" i="10"/>
  <c r="D3" i="10"/>
  <c r="E3" i="10"/>
  <c r="F3" i="10"/>
  <c r="G3" i="10"/>
  <c r="H3" i="10"/>
  <c r="I3" i="10"/>
  <c r="A4" i="10"/>
  <c r="B4" i="10"/>
  <c r="C4" i="10"/>
  <c r="D4" i="10"/>
  <c r="E4" i="10"/>
  <c r="F4" i="10"/>
  <c r="G4" i="10"/>
  <c r="H4" i="10"/>
  <c r="I4" i="10"/>
  <c r="A5" i="10"/>
  <c r="B5" i="10"/>
  <c r="C5" i="10"/>
  <c r="D5" i="10"/>
  <c r="E5" i="10"/>
  <c r="F5" i="10"/>
  <c r="G5" i="10"/>
  <c r="H5" i="10"/>
  <c r="I5" i="10"/>
  <c r="A6" i="10"/>
  <c r="B6" i="10"/>
  <c r="C6" i="10"/>
  <c r="D6" i="10"/>
  <c r="E6" i="10"/>
  <c r="F6" i="10"/>
  <c r="G6" i="10"/>
  <c r="H6" i="10"/>
  <c r="I6" i="10"/>
  <c r="A7" i="10"/>
  <c r="B7" i="10"/>
  <c r="C7" i="10"/>
  <c r="D7" i="10"/>
  <c r="E7" i="10"/>
  <c r="F7" i="10"/>
  <c r="G7" i="10"/>
  <c r="H7" i="10"/>
  <c r="I7" i="10"/>
  <c r="A8" i="10"/>
  <c r="B8" i="10"/>
  <c r="C8" i="10"/>
  <c r="D8" i="10"/>
  <c r="E8" i="10"/>
  <c r="F8" i="10"/>
  <c r="G8" i="10"/>
  <c r="H8" i="10"/>
  <c r="I8" i="10"/>
  <c r="A9" i="10"/>
  <c r="B9" i="10"/>
  <c r="C9" i="10"/>
  <c r="D9" i="10"/>
  <c r="E9" i="10"/>
  <c r="F9" i="10"/>
  <c r="G9" i="10"/>
  <c r="H9" i="10"/>
  <c r="I9" i="10"/>
  <c r="B1" i="10"/>
  <c r="C1" i="10"/>
  <c r="D1" i="10"/>
  <c r="E1" i="10"/>
  <c r="F1" i="10"/>
  <c r="G1" i="10"/>
  <c r="H1" i="10"/>
  <c r="I1" i="10"/>
  <c r="A1" i="10"/>
  <c r="I101" i="3" l="1"/>
  <c r="H101" i="3"/>
  <c r="G101" i="3"/>
  <c r="F101" i="3"/>
  <c r="E101" i="3"/>
  <c r="D101" i="3"/>
  <c r="C101" i="3"/>
  <c r="I100" i="3"/>
  <c r="H100" i="3"/>
  <c r="G100" i="3"/>
  <c r="F100" i="3"/>
  <c r="E100" i="3"/>
  <c r="D100" i="3"/>
  <c r="C100" i="3"/>
  <c r="I99" i="3"/>
  <c r="H99" i="3"/>
  <c r="G99" i="3"/>
  <c r="F99" i="3"/>
  <c r="E99" i="3"/>
  <c r="D99" i="3"/>
  <c r="C99" i="3"/>
  <c r="I98" i="3"/>
  <c r="H98" i="3"/>
  <c r="G98" i="3"/>
  <c r="F98" i="3"/>
  <c r="E98" i="3"/>
  <c r="D98" i="3"/>
  <c r="C98" i="3"/>
  <c r="I97" i="3"/>
  <c r="H97" i="3"/>
  <c r="G97" i="3"/>
  <c r="F97" i="3"/>
  <c r="E97" i="3"/>
  <c r="D97" i="3"/>
  <c r="C97" i="3"/>
  <c r="I96" i="3"/>
  <c r="H96" i="3"/>
  <c r="G96" i="3"/>
  <c r="F96" i="3"/>
  <c r="E96" i="3"/>
  <c r="D96" i="3"/>
  <c r="C96" i="3"/>
  <c r="I95" i="3"/>
  <c r="H95" i="3"/>
  <c r="G95" i="3"/>
  <c r="F95" i="3"/>
  <c r="E95" i="3"/>
  <c r="D95" i="3"/>
  <c r="C95" i="3"/>
  <c r="I94" i="3"/>
  <c r="H94" i="3"/>
  <c r="G94" i="3"/>
  <c r="F94" i="3"/>
  <c r="E94" i="3"/>
  <c r="D94" i="3"/>
  <c r="C94" i="3"/>
  <c r="I93" i="3"/>
  <c r="H93" i="3"/>
  <c r="G93" i="3"/>
  <c r="F93" i="3"/>
  <c r="E93" i="3"/>
  <c r="D93" i="3"/>
  <c r="C93" i="3"/>
  <c r="I92" i="3"/>
  <c r="H92" i="3"/>
  <c r="G92" i="3"/>
  <c r="F92" i="3"/>
  <c r="E92" i="3"/>
  <c r="D92" i="3"/>
  <c r="C92" i="3"/>
  <c r="I91" i="3"/>
  <c r="H91" i="3"/>
  <c r="G91" i="3"/>
  <c r="F91" i="3"/>
  <c r="E91" i="3"/>
  <c r="D91" i="3"/>
  <c r="C91" i="3"/>
  <c r="I90" i="3"/>
  <c r="H90" i="3"/>
  <c r="G90" i="3"/>
  <c r="F90" i="3"/>
  <c r="E90" i="3"/>
  <c r="D90" i="3"/>
  <c r="C90" i="3"/>
  <c r="I89" i="3"/>
  <c r="H89" i="3"/>
  <c r="G89" i="3"/>
  <c r="F89" i="3"/>
  <c r="E89" i="3"/>
  <c r="D89" i="3"/>
  <c r="C89" i="3"/>
  <c r="I88" i="3"/>
  <c r="H88" i="3"/>
  <c r="G88" i="3"/>
  <c r="F88" i="3"/>
  <c r="E88" i="3"/>
  <c r="D88" i="3"/>
  <c r="C88" i="3"/>
  <c r="I87" i="3"/>
  <c r="H87" i="3"/>
  <c r="G87" i="3"/>
  <c r="F87" i="3"/>
  <c r="E87" i="3"/>
  <c r="D87" i="3"/>
  <c r="C87" i="3"/>
  <c r="I86" i="3"/>
  <c r="H86" i="3"/>
  <c r="G86" i="3"/>
  <c r="F86" i="3"/>
  <c r="E86" i="3"/>
  <c r="D86" i="3"/>
  <c r="C86" i="3"/>
  <c r="I85" i="3"/>
  <c r="H85" i="3"/>
  <c r="G85" i="3"/>
  <c r="F85" i="3"/>
  <c r="E85" i="3"/>
  <c r="D85" i="3"/>
  <c r="C85" i="3"/>
  <c r="I84" i="3"/>
  <c r="H84" i="3"/>
  <c r="G84" i="3"/>
  <c r="F84" i="3"/>
  <c r="E84" i="3"/>
  <c r="D84" i="3"/>
  <c r="C84" i="3"/>
  <c r="I83" i="3"/>
  <c r="H83" i="3"/>
  <c r="G83" i="3"/>
  <c r="F83" i="3"/>
  <c r="E83" i="3"/>
  <c r="D83" i="3"/>
  <c r="C83" i="3"/>
  <c r="I82" i="3"/>
  <c r="H82" i="3"/>
  <c r="G82" i="3"/>
  <c r="F82" i="3"/>
  <c r="E82" i="3"/>
  <c r="D82" i="3"/>
  <c r="C82" i="3"/>
  <c r="I81" i="3"/>
  <c r="H81" i="3"/>
  <c r="G81" i="3"/>
  <c r="F81" i="3"/>
  <c r="E81" i="3"/>
  <c r="D81" i="3"/>
  <c r="C81" i="3"/>
  <c r="I80" i="3"/>
  <c r="H80" i="3"/>
  <c r="G80" i="3"/>
  <c r="F80" i="3"/>
  <c r="E80" i="3"/>
  <c r="D80" i="3"/>
  <c r="C80" i="3"/>
  <c r="I79" i="3"/>
  <c r="H79" i="3"/>
  <c r="G79" i="3"/>
  <c r="F79" i="3"/>
  <c r="E79" i="3"/>
  <c r="D79" i="3"/>
  <c r="C79" i="3"/>
  <c r="I78" i="3"/>
  <c r="H78" i="3"/>
  <c r="G78" i="3"/>
  <c r="F78" i="3"/>
  <c r="E78" i="3"/>
  <c r="D78" i="3"/>
  <c r="C78" i="3"/>
  <c r="I77" i="3"/>
  <c r="H77" i="3"/>
  <c r="G77" i="3"/>
  <c r="F77" i="3"/>
  <c r="E77" i="3"/>
  <c r="D77" i="3"/>
  <c r="C77" i="3"/>
  <c r="I76" i="3"/>
  <c r="H76" i="3"/>
  <c r="G76" i="3"/>
  <c r="F76" i="3"/>
  <c r="E76" i="3"/>
  <c r="D76" i="3"/>
  <c r="C76" i="3"/>
  <c r="I75" i="3"/>
  <c r="H75" i="3"/>
  <c r="G75" i="3"/>
  <c r="F75" i="3"/>
  <c r="E75" i="3"/>
  <c r="D75" i="3"/>
  <c r="C75" i="3"/>
  <c r="I74" i="3"/>
  <c r="H74" i="3"/>
  <c r="G74" i="3"/>
  <c r="F74" i="3"/>
  <c r="E74" i="3"/>
  <c r="D74" i="3"/>
  <c r="C74" i="3"/>
  <c r="I73" i="3"/>
  <c r="H73" i="3"/>
  <c r="G73" i="3"/>
  <c r="F73" i="3"/>
  <c r="E73" i="3"/>
  <c r="D73" i="3"/>
  <c r="C73" i="3"/>
  <c r="I72" i="3"/>
  <c r="H72" i="3"/>
  <c r="G72" i="3"/>
  <c r="F72" i="3"/>
  <c r="E72" i="3"/>
  <c r="D72" i="3"/>
  <c r="C72" i="3"/>
  <c r="I71" i="3"/>
  <c r="H71" i="3"/>
  <c r="G71" i="3"/>
  <c r="F71" i="3"/>
  <c r="E71" i="3"/>
  <c r="D71" i="3"/>
  <c r="C71" i="3"/>
  <c r="I70" i="3"/>
  <c r="H70" i="3"/>
  <c r="G70" i="3"/>
  <c r="F70" i="3"/>
  <c r="E70" i="3"/>
  <c r="D70" i="3"/>
  <c r="C70" i="3"/>
  <c r="I69" i="3"/>
  <c r="H69" i="3"/>
  <c r="G69" i="3"/>
  <c r="F69" i="3"/>
  <c r="E69" i="3"/>
  <c r="D69" i="3"/>
  <c r="C69" i="3"/>
  <c r="I68" i="3"/>
  <c r="H68" i="3"/>
  <c r="G68" i="3"/>
  <c r="F68" i="3"/>
  <c r="E68" i="3"/>
  <c r="D68" i="3"/>
  <c r="C68" i="3"/>
  <c r="I67" i="3"/>
  <c r="H67" i="3"/>
  <c r="G67" i="3"/>
  <c r="F67" i="3"/>
  <c r="E67" i="3"/>
  <c r="D67" i="3"/>
  <c r="C67" i="3"/>
  <c r="I66" i="3"/>
  <c r="H66" i="3"/>
  <c r="G66" i="3"/>
  <c r="F66" i="3"/>
  <c r="E66" i="3"/>
  <c r="D66" i="3"/>
  <c r="C66" i="3"/>
  <c r="I65" i="3"/>
  <c r="H65" i="3"/>
  <c r="G65" i="3"/>
  <c r="F65" i="3"/>
  <c r="E65" i="3"/>
  <c r="D65" i="3"/>
  <c r="C65" i="3"/>
  <c r="I64" i="3"/>
  <c r="H64" i="3"/>
  <c r="G64" i="3"/>
  <c r="F64" i="3"/>
  <c r="E64" i="3"/>
  <c r="D64" i="3"/>
  <c r="C64" i="3"/>
  <c r="I63" i="3"/>
  <c r="H63" i="3"/>
  <c r="G63" i="3"/>
  <c r="F63" i="3"/>
  <c r="E63" i="3"/>
  <c r="D63" i="3"/>
  <c r="C63" i="3"/>
  <c r="I62" i="3"/>
  <c r="H62" i="3"/>
  <c r="G62" i="3"/>
  <c r="F62" i="3"/>
  <c r="E62" i="3"/>
  <c r="D62" i="3"/>
  <c r="C62" i="3"/>
  <c r="I61" i="3"/>
  <c r="H61" i="3"/>
  <c r="G61" i="3"/>
  <c r="F61" i="3"/>
  <c r="E61" i="3"/>
  <c r="D61" i="3"/>
  <c r="C61" i="3"/>
  <c r="I60" i="3"/>
  <c r="H60" i="3"/>
  <c r="G60" i="3"/>
  <c r="F60" i="3"/>
  <c r="E60" i="3"/>
  <c r="D60" i="3"/>
  <c r="C60" i="3"/>
  <c r="I59" i="3"/>
  <c r="H59" i="3"/>
  <c r="G59" i="3"/>
  <c r="F59" i="3"/>
  <c r="E59" i="3"/>
  <c r="D59" i="3"/>
  <c r="C59" i="3"/>
  <c r="I58" i="3"/>
  <c r="H58" i="3"/>
  <c r="G58" i="3"/>
  <c r="F58" i="3"/>
  <c r="E58" i="3"/>
  <c r="D58" i="3"/>
  <c r="C58" i="3"/>
  <c r="I57" i="3"/>
  <c r="H57" i="3"/>
  <c r="G57" i="3"/>
  <c r="F57" i="3"/>
  <c r="E57" i="3"/>
  <c r="D57" i="3"/>
  <c r="C57" i="3"/>
  <c r="I56" i="3"/>
  <c r="H56" i="3"/>
  <c r="G56" i="3"/>
  <c r="F56" i="3"/>
  <c r="E56" i="3"/>
  <c r="D56" i="3"/>
  <c r="C56" i="3"/>
  <c r="I55" i="3"/>
  <c r="H55" i="3"/>
  <c r="G55" i="3"/>
  <c r="F55" i="3"/>
  <c r="E55" i="3"/>
  <c r="D55" i="3"/>
  <c r="C55" i="3"/>
  <c r="I54" i="3"/>
  <c r="H54" i="3"/>
  <c r="G54" i="3"/>
  <c r="F54" i="3"/>
  <c r="E54" i="3"/>
  <c r="D54" i="3"/>
  <c r="C54" i="3"/>
  <c r="I53" i="3"/>
  <c r="H53" i="3"/>
  <c r="G53" i="3"/>
  <c r="F53" i="3"/>
  <c r="E53" i="3"/>
  <c r="D53" i="3"/>
  <c r="C53" i="3"/>
  <c r="I52" i="3"/>
  <c r="H52" i="3"/>
  <c r="G52" i="3"/>
  <c r="F52" i="3"/>
  <c r="E52" i="3"/>
  <c r="D52" i="3"/>
  <c r="C52" i="3"/>
  <c r="I51" i="3"/>
  <c r="H51" i="3"/>
  <c r="G51" i="3"/>
  <c r="F51" i="3"/>
  <c r="E51" i="3"/>
  <c r="D51" i="3"/>
  <c r="C51" i="3"/>
  <c r="I50" i="3"/>
  <c r="H50" i="3"/>
  <c r="G50" i="3"/>
  <c r="F50" i="3"/>
  <c r="E50" i="3"/>
  <c r="D50" i="3"/>
  <c r="C50" i="3"/>
  <c r="I49" i="3"/>
  <c r="H49" i="3"/>
  <c r="G49" i="3"/>
  <c r="F49" i="3"/>
  <c r="E49" i="3"/>
  <c r="D49" i="3"/>
  <c r="C49" i="3"/>
  <c r="I48" i="3"/>
  <c r="H48" i="3"/>
  <c r="G48" i="3"/>
  <c r="F48" i="3"/>
  <c r="E48" i="3"/>
  <c r="D48" i="3"/>
  <c r="C48" i="3"/>
  <c r="I47" i="3"/>
  <c r="H47" i="3"/>
  <c r="G47" i="3"/>
  <c r="F47" i="3"/>
  <c r="E47" i="3"/>
  <c r="D47" i="3"/>
  <c r="C47" i="3"/>
  <c r="I46" i="3"/>
  <c r="H46" i="3"/>
  <c r="G46" i="3"/>
  <c r="F46" i="3"/>
  <c r="E46" i="3"/>
  <c r="D46" i="3"/>
  <c r="C46" i="3"/>
  <c r="I45" i="3"/>
  <c r="H45" i="3"/>
  <c r="G45" i="3"/>
  <c r="F45" i="3"/>
  <c r="E45" i="3"/>
  <c r="D45" i="3"/>
  <c r="C45" i="3"/>
  <c r="I44" i="3"/>
  <c r="H44" i="3"/>
  <c r="G44" i="3"/>
  <c r="F44" i="3"/>
  <c r="E44" i="3"/>
  <c r="D44" i="3"/>
  <c r="C44" i="3"/>
  <c r="I43" i="3"/>
  <c r="H43" i="3"/>
  <c r="G43" i="3"/>
  <c r="F43" i="3"/>
  <c r="E43" i="3"/>
  <c r="D43" i="3"/>
  <c r="C43" i="3"/>
  <c r="I42" i="3"/>
  <c r="H42" i="3"/>
  <c r="G42" i="3"/>
  <c r="F42" i="3"/>
  <c r="E42" i="3"/>
  <c r="D42" i="3"/>
  <c r="C42" i="3"/>
  <c r="I41" i="3"/>
  <c r="H41" i="3"/>
  <c r="G41" i="3"/>
  <c r="F41" i="3"/>
  <c r="E41" i="3"/>
  <c r="D41" i="3"/>
  <c r="C41" i="3"/>
  <c r="I40" i="3"/>
  <c r="H40" i="3"/>
  <c r="G40" i="3"/>
  <c r="F40" i="3"/>
  <c r="E40" i="3"/>
  <c r="D40" i="3"/>
  <c r="C40" i="3"/>
  <c r="I39" i="3"/>
  <c r="H39" i="3"/>
  <c r="G39" i="3"/>
  <c r="F39" i="3"/>
  <c r="E39" i="3"/>
  <c r="D39" i="3"/>
  <c r="C39" i="3"/>
  <c r="I38" i="3"/>
  <c r="H38" i="3"/>
  <c r="G38" i="3"/>
  <c r="F38" i="3"/>
  <c r="E38" i="3"/>
  <c r="D38" i="3"/>
  <c r="C38" i="3"/>
  <c r="I37" i="3"/>
  <c r="H37" i="3"/>
  <c r="G37" i="3"/>
  <c r="F37" i="3"/>
  <c r="E37" i="3"/>
  <c r="D37" i="3"/>
  <c r="C37" i="3"/>
  <c r="I36" i="3"/>
  <c r="H36" i="3"/>
  <c r="G36" i="3"/>
  <c r="F36" i="3"/>
  <c r="E36" i="3"/>
  <c r="D36" i="3"/>
  <c r="C36" i="3"/>
  <c r="I35" i="3"/>
  <c r="H35" i="3"/>
  <c r="G35" i="3"/>
  <c r="F35" i="3"/>
  <c r="E35" i="3"/>
  <c r="D35" i="3"/>
  <c r="C35" i="3"/>
  <c r="I34" i="3"/>
  <c r="H34" i="3"/>
  <c r="G34" i="3"/>
  <c r="F34" i="3"/>
  <c r="E34" i="3"/>
  <c r="D34" i="3"/>
  <c r="C34" i="3"/>
  <c r="I33" i="3"/>
  <c r="H33" i="3"/>
  <c r="G33" i="3"/>
  <c r="F33" i="3"/>
  <c r="E33" i="3"/>
  <c r="D33" i="3"/>
  <c r="C33" i="3"/>
  <c r="I32" i="3"/>
  <c r="H32" i="3"/>
  <c r="G32" i="3"/>
  <c r="F32" i="3"/>
  <c r="E32" i="3"/>
  <c r="D32" i="3"/>
  <c r="C32" i="3"/>
  <c r="I31" i="3"/>
  <c r="H31" i="3"/>
  <c r="G31" i="3"/>
  <c r="F31" i="3"/>
  <c r="E31" i="3"/>
  <c r="D31" i="3"/>
  <c r="C31" i="3"/>
  <c r="I30" i="3"/>
  <c r="H30" i="3"/>
  <c r="G30" i="3"/>
  <c r="F30" i="3"/>
  <c r="E30" i="3"/>
  <c r="D30" i="3"/>
  <c r="C30" i="3"/>
  <c r="I29" i="3"/>
  <c r="H29" i="3"/>
  <c r="G29" i="3"/>
  <c r="F29" i="3"/>
  <c r="E29" i="3"/>
  <c r="D29" i="3"/>
  <c r="C29" i="3"/>
  <c r="I28" i="3"/>
  <c r="H28" i="3"/>
  <c r="G28" i="3"/>
  <c r="F28" i="3"/>
  <c r="E28" i="3"/>
  <c r="D28" i="3"/>
  <c r="C28" i="3"/>
  <c r="I27" i="3"/>
  <c r="H27" i="3"/>
  <c r="G27" i="3"/>
  <c r="F27" i="3"/>
  <c r="E27" i="3"/>
  <c r="D27" i="3"/>
  <c r="C27" i="3"/>
  <c r="I26" i="3"/>
  <c r="H26" i="3"/>
  <c r="G26" i="3"/>
  <c r="F26" i="3"/>
  <c r="E26" i="3"/>
  <c r="D26" i="3"/>
  <c r="C26" i="3"/>
  <c r="I25" i="3"/>
  <c r="H25" i="3"/>
  <c r="G25" i="3"/>
  <c r="F25" i="3"/>
  <c r="E25" i="3"/>
  <c r="D25" i="3"/>
  <c r="C25" i="3"/>
  <c r="I24" i="3"/>
  <c r="H24" i="3"/>
  <c r="G24" i="3"/>
  <c r="F24" i="3"/>
  <c r="E24" i="3"/>
  <c r="D24" i="3"/>
  <c r="C24" i="3"/>
  <c r="I23" i="3"/>
  <c r="H23" i="3"/>
  <c r="G23" i="3"/>
  <c r="F23" i="3"/>
  <c r="E23" i="3"/>
  <c r="D23" i="3"/>
  <c r="C23" i="3"/>
  <c r="I22" i="3"/>
  <c r="H22" i="3"/>
  <c r="G22" i="3"/>
  <c r="F22" i="3"/>
  <c r="E22" i="3"/>
  <c r="D22" i="3"/>
  <c r="C22" i="3"/>
  <c r="I21" i="3"/>
  <c r="H21" i="3"/>
  <c r="G21" i="3"/>
  <c r="F21" i="3"/>
  <c r="E21" i="3"/>
  <c r="D21" i="3"/>
  <c r="C21" i="3"/>
  <c r="I20" i="3"/>
  <c r="H20" i="3"/>
  <c r="G20" i="3"/>
  <c r="F20" i="3"/>
  <c r="E20" i="3"/>
  <c r="D20" i="3"/>
  <c r="C20" i="3"/>
  <c r="I19" i="3"/>
  <c r="H19" i="3"/>
  <c r="G19" i="3"/>
  <c r="F19" i="3"/>
  <c r="E19" i="3"/>
  <c r="D19" i="3"/>
  <c r="C19" i="3"/>
  <c r="I18" i="3"/>
  <c r="H18" i="3"/>
  <c r="G18" i="3"/>
  <c r="F18" i="3"/>
  <c r="E18" i="3"/>
  <c r="D18" i="3"/>
  <c r="C18" i="3"/>
  <c r="I17" i="3"/>
  <c r="H17" i="3"/>
  <c r="G17" i="3"/>
  <c r="F17" i="3"/>
  <c r="E17" i="3"/>
  <c r="D17" i="3"/>
  <c r="C17" i="3"/>
  <c r="I16" i="3"/>
  <c r="H16" i="3"/>
  <c r="G16" i="3"/>
  <c r="F16" i="3"/>
  <c r="E16" i="3"/>
  <c r="D16" i="3"/>
  <c r="C16" i="3"/>
  <c r="I15" i="3"/>
  <c r="H15" i="3"/>
  <c r="G15" i="3"/>
  <c r="F15" i="3"/>
  <c r="E15" i="3"/>
  <c r="D15" i="3"/>
  <c r="C15" i="3"/>
  <c r="I14" i="3"/>
  <c r="H14" i="3"/>
  <c r="G14" i="3"/>
  <c r="F14" i="3"/>
  <c r="E14" i="3"/>
  <c r="D14" i="3"/>
  <c r="C14" i="3"/>
  <c r="I13" i="3"/>
  <c r="H13" i="3"/>
  <c r="G13" i="3"/>
  <c r="F13" i="3"/>
  <c r="E13" i="3"/>
  <c r="D13" i="3"/>
  <c r="C13" i="3"/>
  <c r="I12" i="3"/>
  <c r="H12" i="3"/>
  <c r="G12" i="3"/>
  <c r="F12" i="3"/>
  <c r="E12" i="3"/>
  <c r="D12" i="3"/>
  <c r="C12" i="3"/>
  <c r="I11" i="3"/>
  <c r="H11" i="3"/>
  <c r="G11" i="3"/>
  <c r="F11" i="3"/>
  <c r="E11" i="3"/>
  <c r="D11" i="3"/>
  <c r="C11" i="3"/>
  <c r="I10" i="3"/>
  <c r="H10" i="3"/>
  <c r="G10" i="3"/>
  <c r="F10" i="3"/>
  <c r="E10" i="3"/>
  <c r="D10" i="3"/>
  <c r="C10" i="3"/>
  <c r="I9" i="3"/>
  <c r="H9" i="3"/>
  <c r="G9" i="3"/>
  <c r="F9" i="3"/>
  <c r="E9" i="3"/>
  <c r="D9" i="3"/>
  <c r="C9" i="3"/>
  <c r="I8" i="3"/>
  <c r="H8" i="3"/>
  <c r="G8" i="3"/>
  <c r="F8" i="3"/>
  <c r="E8" i="3"/>
  <c r="D8" i="3"/>
  <c r="C8" i="3"/>
  <c r="I7" i="3"/>
  <c r="H7" i="3"/>
  <c r="G7" i="3"/>
  <c r="F7" i="3"/>
  <c r="E7" i="3"/>
  <c r="D7" i="3"/>
  <c r="C7" i="3"/>
  <c r="I6" i="3"/>
  <c r="H6" i="3"/>
  <c r="G6" i="3"/>
  <c r="F6" i="3"/>
  <c r="E6" i="3"/>
  <c r="D6" i="3"/>
  <c r="C6" i="3"/>
  <c r="I5" i="3"/>
  <c r="H5" i="3"/>
  <c r="G5" i="3"/>
  <c r="F5" i="3"/>
  <c r="E5" i="3"/>
  <c r="D5" i="3"/>
  <c r="C5" i="3"/>
  <c r="I4" i="3"/>
  <c r="H4" i="3"/>
  <c r="G4" i="3"/>
  <c r="F4" i="3"/>
  <c r="E4" i="3"/>
  <c r="D4" i="3"/>
  <c r="C4" i="3"/>
  <c r="I3" i="3"/>
  <c r="H3" i="3"/>
  <c r="G3" i="3"/>
  <c r="F3" i="3"/>
  <c r="E3" i="3"/>
  <c r="D3" i="3"/>
  <c r="C3" i="3"/>
  <c r="I2" i="3"/>
  <c r="H2" i="3"/>
  <c r="G2" i="3"/>
  <c r="F2" i="3"/>
  <c r="E2" i="3"/>
  <c r="D2" i="3"/>
  <c r="C2" i="3"/>
  <c r="A1" i="4" l="1" a="1"/>
  <c r="AT1" i="4" s="1"/>
  <c r="M1" i="4" l="1"/>
  <c r="CI1" i="4"/>
  <c r="BO2" i="4"/>
  <c r="BK3" i="4"/>
  <c r="AA4" i="4"/>
  <c r="BP1" i="4"/>
  <c r="AV3" i="4"/>
  <c r="H7" i="4"/>
  <c r="BS6" i="4"/>
  <c r="CF7" i="4"/>
  <c r="BH8" i="4"/>
  <c r="Y1" i="4"/>
  <c r="U2" i="4"/>
  <c r="A3" i="4"/>
  <c r="CC3" i="4"/>
  <c r="AS4" i="4"/>
  <c r="V2" i="4"/>
  <c r="AP4" i="4"/>
  <c r="J7" i="4"/>
  <c r="AK6" i="4"/>
  <c r="S7" i="4"/>
  <c r="E9" i="4"/>
  <c r="CL9" i="4"/>
  <c r="AF1" i="4"/>
  <c r="I1" i="4"/>
  <c r="AA1" i="4"/>
  <c r="AQ1" i="4"/>
  <c r="BG1" i="4"/>
  <c r="BW1" i="4"/>
  <c r="CM1" i="4"/>
  <c r="G2" i="4"/>
  <c r="W2" i="4"/>
  <c r="AM2" i="4"/>
  <c r="BC2" i="4"/>
  <c r="BS2" i="4"/>
  <c r="CI2" i="4"/>
  <c r="C3" i="4"/>
  <c r="S3" i="4"/>
  <c r="AI3" i="4"/>
  <c r="AY3" i="4"/>
  <c r="BO3" i="4"/>
  <c r="CE3" i="4"/>
  <c r="CU3" i="4"/>
  <c r="O4" i="4"/>
  <c r="AE4" i="4"/>
  <c r="AU4" i="4"/>
  <c r="BK4" i="4"/>
  <c r="CO4" i="4"/>
  <c r="BD1" i="4"/>
  <c r="BT1" i="4"/>
  <c r="CJ1" i="4"/>
  <c r="AH2" i="4"/>
  <c r="BR2" i="4"/>
  <c r="P3" i="4"/>
  <c r="BJ3" i="4"/>
  <c r="CT3" i="4"/>
  <c r="AR4" i="4"/>
  <c r="BN4" i="4"/>
  <c r="B5" i="4"/>
  <c r="AV5" i="4"/>
  <c r="CP5" i="4"/>
  <c r="AD6" i="4"/>
  <c r="BX6" i="4"/>
  <c r="V7" i="4"/>
  <c r="BS7" i="4"/>
  <c r="CQ8" i="4"/>
  <c r="BE5" i="4"/>
  <c r="CO5" i="4"/>
  <c r="AM6" i="4"/>
  <c r="CG6" i="4"/>
  <c r="U7" i="4"/>
  <c r="CK7" i="4"/>
  <c r="AZ7" i="4"/>
  <c r="CJ7" i="4"/>
  <c r="AK8" i="4"/>
  <c r="AC9" i="4"/>
  <c r="C9" i="4"/>
  <c r="CQ9" i="4"/>
  <c r="BV8" i="4"/>
  <c r="J9" i="4"/>
  <c r="BD9" i="4"/>
  <c r="AP1" i="4"/>
  <c r="AM1" i="4"/>
  <c r="S2" i="4"/>
  <c r="CE2" i="4"/>
  <c r="AU3" i="4"/>
  <c r="AQ4" i="4"/>
  <c r="T2" i="4"/>
  <c r="CP3" i="4"/>
  <c r="CB5" i="4"/>
  <c r="BK7" i="4"/>
  <c r="Y6" i="4"/>
  <c r="BW8" i="4"/>
  <c r="F9" i="4"/>
  <c r="K1" i="4"/>
  <c r="E2" i="4"/>
  <c r="CG2" i="4"/>
  <c r="CS3" i="4"/>
  <c r="CK4" i="4"/>
  <c r="BP2" i="4"/>
  <c r="CM4" i="4"/>
  <c r="BV6" i="4"/>
  <c r="AS5" i="4"/>
  <c r="CG7" i="4"/>
  <c r="AG8" i="4"/>
  <c r="BB9" i="4"/>
  <c r="AB1" i="4"/>
  <c r="G1" i="4"/>
  <c r="AC1" i="4"/>
  <c r="AS1" i="4"/>
  <c r="BI1" i="4"/>
  <c r="BY1" i="4"/>
  <c r="CO1" i="4"/>
  <c r="I2" i="4"/>
  <c r="Y2" i="4"/>
  <c r="AO2" i="4"/>
  <c r="BE2" i="4"/>
  <c r="BU2" i="4"/>
  <c r="CK2" i="4"/>
  <c r="E3" i="4"/>
  <c r="U3" i="4"/>
  <c r="AK3" i="4"/>
  <c r="BA3" i="4"/>
  <c r="BQ3" i="4"/>
  <c r="CG3" i="4"/>
  <c r="A4" i="4"/>
  <c r="Q4" i="4"/>
  <c r="AG4" i="4"/>
  <c r="AW4" i="4"/>
  <c r="BM4" i="4"/>
  <c r="CS4" i="4"/>
  <c r="BF1" i="4"/>
  <c r="BV1" i="4"/>
  <c r="CL1" i="4"/>
  <c r="AJ2" i="4"/>
  <c r="CD2" i="4"/>
  <c r="R3" i="4"/>
  <c r="BL3" i="4"/>
  <c r="J4" i="4"/>
  <c r="AT4" i="4"/>
  <c r="BP4" i="4"/>
  <c r="N5" i="4"/>
  <c r="AX5" i="4"/>
  <c r="CR5" i="4"/>
  <c r="AP6" i="4"/>
  <c r="BZ6" i="4"/>
  <c r="X7" i="4"/>
  <c r="CQ7" i="4"/>
  <c r="M5" i="4"/>
  <c r="BG5" i="4"/>
  <c r="E6" i="4"/>
  <c r="AO6" i="4"/>
  <c r="CI6" i="4"/>
  <c r="AG7" i="4"/>
  <c r="CO7" i="4"/>
  <c r="BB7" i="4"/>
  <c r="CV7" i="4"/>
  <c r="AO8" i="4"/>
  <c r="AG9" i="4"/>
  <c r="AA9" i="4"/>
  <c r="CU9" i="4"/>
  <c r="BX8" i="4"/>
  <c r="V9" i="4"/>
  <c r="BF9" i="4"/>
  <c r="AL1" i="4"/>
  <c r="BC1" i="4"/>
  <c r="O3" i="4"/>
  <c r="AZ1" i="4"/>
  <c r="AH5" i="4"/>
  <c r="CO9" i="4"/>
  <c r="BE1" i="4"/>
  <c r="AG3" i="4"/>
  <c r="CH1" i="4"/>
  <c r="AB6" i="4"/>
  <c r="CM9" i="4"/>
  <c r="X1" i="4"/>
  <c r="E1" i="4"/>
  <c r="AE1" i="4"/>
  <c r="AU1" i="4"/>
  <c r="BK1" i="4"/>
  <c r="CA1" i="4"/>
  <c r="CQ1" i="4"/>
  <c r="K2" i="4"/>
  <c r="AA2" i="4"/>
  <c r="AQ2" i="4"/>
  <c r="BG2" i="4"/>
  <c r="BW2" i="4"/>
  <c r="CM2" i="4"/>
  <c r="G3" i="4"/>
  <c r="W3" i="4"/>
  <c r="AM3" i="4"/>
  <c r="BC3" i="4"/>
  <c r="BS3" i="4"/>
  <c r="CI3" i="4"/>
  <c r="C4" i="4"/>
  <c r="S4" i="4"/>
  <c r="AI4" i="4"/>
  <c r="AY4" i="4"/>
  <c r="BQ4" i="4"/>
  <c r="A5" i="4"/>
  <c r="BH1" i="4"/>
  <c r="BX1" i="4"/>
  <c r="B2" i="4"/>
  <c r="AL2" i="4"/>
  <c r="CF2" i="4"/>
  <c r="AD3" i="4"/>
  <c r="BN3" i="4"/>
  <c r="L4" i="4"/>
  <c r="BF4" i="4"/>
  <c r="BR4" i="4"/>
  <c r="P5" i="4"/>
  <c r="BJ5" i="4"/>
  <c r="CT5" i="4"/>
  <c r="AR6" i="4"/>
  <c r="CL6" i="4"/>
  <c r="Z7" i="4"/>
  <c r="CU7" i="4"/>
  <c r="Y5" i="4"/>
  <c r="BI5" i="4"/>
  <c r="G6" i="4"/>
  <c r="BA6" i="4"/>
  <c r="CK6" i="4"/>
  <c r="AI7" i="4"/>
  <c r="Q8" i="4"/>
  <c r="BD7" i="4"/>
  <c r="B8" i="4"/>
  <c r="BM8" i="4"/>
  <c r="AK9" i="4"/>
  <c r="AE9" i="4"/>
  <c r="AP8" i="4"/>
  <c r="BZ8" i="4"/>
  <c r="X9" i="4"/>
  <c r="BR9" i="4"/>
  <c r="AH1" i="4"/>
  <c r="BS1" i="4"/>
  <c r="AI2" i="4"/>
  <c r="AE3" i="4"/>
  <c r="K4" i="4"/>
  <c r="BG4" i="4"/>
  <c r="B3" i="4"/>
  <c r="CT4" i="4"/>
  <c r="BJ6" i="4"/>
  <c r="CK5" i="4"/>
  <c r="BI7" i="4"/>
  <c r="A9" i="4"/>
  <c r="AP9" i="4"/>
  <c r="AJ1" i="4"/>
  <c r="CK1" i="4"/>
  <c r="BQ2" i="4"/>
  <c r="AW3" i="4"/>
  <c r="M4" i="4"/>
  <c r="BB1" i="4"/>
  <c r="CR3" i="4"/>
  <c r="CD5" i="4"/>
  <c r="CI8" i="4"/>
  <c r="CH7" i="4"/>
  <c r="H9" i="4"/>
  <c r="T1" i="4"/>
  <c r="C1" i="4"/>
  <c r="AG1" i="4"/>
  <c r="AW1" i="4"/>
  <c r="BM1" i="4"/>
  <c r="CC1" i="4"/>
  <c r="CS1" i="4"/>
  <c r="M2" i="4"/>
  <c r="AC2" i="4"/>
  <c r="AS2" i="4"/>
  <c r="BI2" i="4"/>
  <c r="BY2" i="4"/>
  <c r="CO2" i="4"/>
  <c r="I3" i="4"/>
  <c r="Y3" i="4"/>
  <c r="AO3" i="4"/>
  <c r="BE3" i="4"/>
  <c r="BU3" i="4"/>
  <c r="CK3" i="4"/>
  <c r="E4" i="4"/>
  <c r="U4" i="4"/>
  <c r="AK4" i="4"/>
  <c r="BA4" i="4"/>
  <c r="BU4" i="4"/>
  <c r="E5" i="4"/>
  <c r="BJ1" i="4"/>
  <c r="BZ1" i="4"/>
  <c r="D2" i="4"/>
  <c r="AX2" i="4"/>
  <c r="CH2" i="4"/>
  <c r="AF3" i="4"/>
  <c r="BZ3" i="4"/>
  <c r="N4" i="4"/>
  <c r="BH4" i="4"/>
  <c r="CD4" i="4"/>
  <c r="R5" i="4"/>
  <c r="BL5" i="4"/>
  <c r="J6" i="4"/>
  <c r="AT6" i="4"/>
  <c r="CN6" i="4"/>
  <c r="AL7" i="4"/>
  <c r="C8" i="4"/>
  <c r="AA5" i="4"/>
  <c r="BU5" i="4"/>
  <c r="I6" i="4"/>
  <c r="BC6" i="4"/>
  <c r="A7" i="4"/>
  <c r="AK7" i="4"/>
  <c r="U8" i="4"/>
  <c r="BP7" i="4"/>
  <c r="D8" i="4"/>
  <c r="BQ8" i="4"/>
  <c r="BI9" i="4"/>
  <c r="AI9" i="4"/>
  <c r="AR8" i="4"/>
  <c r="CL8" i="4"/>
  <c r="Z9" i="4"/>
  <c r="BT9" i="4"/>
  <c r="N1" i="4"/>
  <c r="AN1" i="4"/>
  <c r="AY2" i="4"/>
  <c r="CQ3" i="4"/>
  <c r="CF1" i="4"/>
  <c r="CI4" i="4"/>
  <c r="AM8" i="4"/>
  <c r="BO9" i="4"/>
  <c r="AO1" i="4"/>
  <c r="BA2" i="4"/>
  <c r="BM3" i="4"/>
  <c r="BI4" i="4"/>
  <c r="N3" i="4"/>
  <c r="AT5" i="4"/>
  <c r="CM5" i="4"/>
  <c r="CS9" i="4"/>
  <c r="AV1" i="4"/>
  <c r="Q1" i="4"/>
  <c r="S1" i="4"/>
  <c r="AI1" i="4"/>
  <c r="AY1" i="4"/>
  <c r="BO1" i="4"/>
  <c r="CE1" i="4"/>
  <c r="CU1" i="4"/>
  <c r="O2" i="4"/>
  <c r="AE2" i="4"/>
  <c r="AU2" i="4"/>
  <c r="BK2" i="4"/>
  <c r="CA2" i="4"/>
  <c r="CQ2" i="4"/>
  <c r="K3" i="4"/>
  <c r="AA3" i="4"/>
  <c r="AQ3" i="4"/>
  <c r="BG3" i="4"/>
  <c r="BW3" i="4"/>
  <c r="CM3" i="4"/>
  <c r="G4" i="4"/>
  <c r="W4" i="4"/>
  <c r="AM4" i="4"/>
  <c r="BC4" i="4"/>
  <c r="BY4" i="4"/>
  <c r="I5" i="4"/>
  <c r="BL1" i="4"/>
  <c r="CB1" i="4"/>
  <c r="F2" i="4"/>
  <c r="AZ2" i="4"/>
  <c r="CT2" i="4"/>
  <c r="AH3" i="4"/>
  <c r="CB3" i="4"/>
  <c r="Z4" i="4"/>
  <c r="BJ4" i="4"/>
  <c r="CF4" i="4"/>
  <c r="AD5" i="4"/>
  <c r="BN5" i="4"/>
  <c r="L6" i="4"/>
  <c r="BF6" i="4"/>
  <c r="CP6" i="4"/>
  <c r="AN7" i="4"/>
  <c r="AA8" i="4"/>
  <c r="AC5" i="4"/>
  <c r="BW5" i="4"/>
  <c r="U6" i="4"/>
  <c r="BE6" i="4"/>
  <c r="C7" i="4"/>
  <c r="BA7" i="4"/>
  <c r="Y8" i="4"/>
  <c r="BR7" i="4"/>
  <c r="P8" i="4"/>
  <c r="BU8" i="4"/>
  <c r="BM9" i="4"/>
  <c r="BG9" i="4"/>
  <c r="AT8" i="4"/>
  <c r="CN8" i="4"/>
  <c r="AL9" i="4"/>
  <c r="BV9" i="4"/>
  <c r="L1" i="4"/>
  <c r="W1" i="4"/>
  <c r="C2" i="4"/>
  <c r="CU2" i="4"/>
  <c r="CA3" i="4"/>
  <c r="CG4" i="4"/>
  <c r="BN2" i="4"/>
  <c r="AD4" i="4"/>
  <c r="Z6" i="4"/>
  <c r="AQ5" i="4"/>
  <c r="Q7" i="4"/>
  <c r="T8" i="4"/>
  <c r="CJ9" i="4"/>
  <c r="BU1" i="4"/>
  <c r="AK2" i="4"/>
  <c r="Q3" i="4"/>
  <c r="AC4" i="4"/>
  <c r="BR1" i="4"/>
  <c r="AX3" i="4"/>
  <c r="CV4" i="4"/>
  <c r="BO7" i="4"/>
  <c r="BU6" i="4"/>
  <c r="CE8" i="4"/>
  <c r="BJ8" i="4"/>
  <c r="AR1" i="4"/>
  <c r="O1" i="4"/>
  <c r="U1" i="4"/>
  <c r="AK1" i="4"/>
  <c r="BA1" i="4"/>
  <c r="BQ1" i="4"/>
  <c r="CG1" i="4"/>
  <c r="A2" i="4"/>
  <c r="Q2" i="4"/>
  <c r="AG2" i="4"/>
  <c r="AW2" i="4"/>
  <c r="BM2" i="4"/>
  <c r="CC2" i="4"/>
  <c r="CS2" i="4"/>
  <c r="M3" i="4"/>
  <c r="AC3" i="4"/>
  <c r="AS3" i="4"/>
  <c r="BI3" i="4"/>
  <c r="BY3" i="4"/>
  <c r="CO3" i="4"/>
  <c r="I4" i="4"/>
  <c r="Y4" i="4"/>
  <c r="AO4" i="4"/>
  <c r="BE4" i="4"/>
  <c r="CC4" i="4"/>
  <c r="AX1" i="4"/>
  <c r="BN1" i="4"/>
  <c r="CD1" i="4"/>
  <c r="R2" i="4"/>
  <c r="BB2" i="4"/>
  <c r="CV2" i="4"/>
  <c r="AT3" i="4"/>
  <c r="CD3" i="4"/>
  <c r="AB4" i="4"/>
  <c r="CE4" i="4"/>
  <c r="CH4" i="4"/>
  <c r="AF5" i="4"/>
  <c r="BZ5" i="4"/>
  <c r="N6" i="4"/>
  <c r="BH6" i="4"/>
  <c r="F7" i="4"/>
  <c r="AP7" i="4"/>
  <c r="AE8" i="4"/>
  <c r="AO5" i="4"/>
  <c r="BY5" i="4"/>
  <c r="W6" i="4"/>
  <c r="BQ6" i="4"/>
  <c r="E7" i="4"/>
  <c r="BE7" i="4"/>
  <c r="BO8" i="4"/>
  <c r="BT7" i="4"/>
  <c r="R8" i="4"/>
  <c r="CS8" i="4"/>
  <c r="BQ9" i="4"/>
  <c r="BK9" i="4"/>
  <c r="BF8" i="4"/>
  <c r="CP8" i="4"/>
  <c r="AN9" i="4"/>
  <c r="CH9" i="4"/>
  <c r="J1" i="4"/>
  <c r="CN1" i="4"/>
  <c r="H2" i="4"/>
  <c r="X2" i="4"/>
  <c r="AN2" i="4"/>
  <c r="BD2" i="4"/>
  <c r="BT2" i="4"/>
  <c r="CJ2" i="4"/>
  <c r="D3" i="4"/>
  <c r="T3" i="4"/>
  <c r="AJ3" i="4"/>
  <c r="AZ3" i="4"/>
  <c r="BP3" i="4"/>
  <c r="CF3" i="4"/>
  <c r="CV3" i="4"/>
  <c r="P4" i="4"/>
  <c r="AF4" i="4"/>
  <c r="AV4" i="4"/>
  <c r="BL4" i="4"/>
  <c r="CQ4" i="4"/>
  <c r="BT4" i="4"/>
  <c r="CJ4" i="4"/>
  <c r="D5" i="4"/>
  <c r="T5" i="4"/>
  <c r="AJ5" i="4"/>
  <c r="AZ5" i="4"/>
  <c r="BP5" i="4"/>
  <c r="CF5" i="4"/>
  <c r="CV5" i="4"/>
  <c r="P6" i="4"/>
  <c r="AF6" i="4"/>
  <c r="AV6" i="4"/>
  <c r="BL6" i="4"/>
  <c r="CB6" i="4"/>
  <c r="CR6" i="4"/>
  <c r="L7" i="4"/>
  <c r="AB7" i="4"/>
  <c r="AR7" i="4"/>
  <c r="BW7" i="4"/>
  <c r="G8" i="4"/>
  <c r="AU8" i="4"/>
  <c r="O5" i="4"/>
  <c r="AE5" i="4"/>
  <c r="AU5" i="4"/>
  <c r="BK5" i="4"/>
  <c r="CA5" i="4"/>
  <c r="CQ5" i="4"/>
  <c r="K6" i="4"/>
  <c r="AA6" i="4"/>
  <c r="AQ6" i="4"/>
  <c r="BG6" i="4"/>
  <c r="BW6" i="4"/>
  <c r="CM6" i="4"/>
  <c r="G7" i="4"/>
  <c r="W7" i="4"/>
  <c r="AM7" i="4"/>
  <c r="BM7" i="4"/>
  <c r="CS7" i="4"/>
  <c r="AC8" i="4"/>
  <c r="CM8" i="4"/>
  <c r="BF7" i="4"/>
  <c r="BV7" i="4"/>
  <c r="CL7" i="4"/>
  <c r="F8" i="4"/>
  <c r="V8" i="4"/>
  <c r="AS8" i="4"/>
  <c r="BY8" i="4"/>
  <c r="I9" i="4"/>
  <c r="AO9" i="4"/>
  <c r="BU9" i="4"/>
  <c r="G9" i="4"/>
  <c r="AM9" i="4"/>
  <c r="BS9" i="4"/>
  <c r="AF8" i="4"/>
  <c r="AV8" i="4"/>
  <c r="BL8" i="4"/>
  <c r="CB8" i="4"/>
  <c r="CR8" i="4"/>
  <c r="L9" i="4"/>
  <c r="AB9" i="4"/>
  <c r="AR9" i="4"/>
  <c r="BH9" i="4"/>
  <c r="BX9" i="4"/>
  <c r="CN9" i="4"/>
  <c r="AD1" i="4"/>
  <c r="H1" i="4"/>
  <c r="CP1" i="4"/>
  <c r="J2" i="4"/>
  <c r="Z2" i="4"/>
  <c r="AP2" i="4"/>
  <c r="BF2" i="4"/>
  <c r="BV2" i="4"/>
  <c r="CL2" i="4"/>
  <c r="F3" i="4"/>
  <c r="V3" i="4"/>
  <c r="AL3" i="4"/>
  <c r="BB3" i="4"/>
  <c r="BR3" i="4"/>
  <c r="CH3" i="4"/>
  <c r="B4" i="4"/>
  <c r="R4" i="4"/>
  <c r="AH4" i="4"/>
  <c r="AX4" i="4"/>
  <c r="BO4" i="4"/>
  <c r="CU4" i="4"/>
  <c r="BV4" i="4"/>
  <c r="CL4" i="4"/>
  <c r="F5" i="4"/>
  <c r="V5" i="4"/>
  <c r="AL5" i="4"/>
  <c r="BB5" i="4"/>
  <c r="BR5" i="4"/>
  <c r="CH5" i="4"/>
  <c r="B6" i="4"/>
  <c r="R6" i="4"/>
  <c r="AH6" i="4"/>
  <c r="AX6" i="4"/>
  <c r="BN6" i="4"/>
  <c r="CD6" i="4"/>
  <c r="CT6" i="4"/>
  <c r="N7" i="4"/>
  <c r="AD7" i="4"/>
  <c r="AU7" i="4"/>
  <c r="CA7" i="4"/>
  <c r="K8" i="4"/>
  <c r="BC8" i="4"/>
  <c r="Q5" i="4"/>
  <c r="AG5" i="4"/>
  <c r="AW5" i="4"/>
  <c r="BM5" i="4"/>
  <c r="CC5" i="4"/>
  <c r="CS5" i="4"/>
  <c r="M6" i="4"/>
  <c r="AC6" i="4"/>
  <c r="AS6" i="4"/>
  <c r="BI6" i="4"/>
  <c r="BY6" i="4"/>
  <c r="CO6" i="4"/>
  <c r="I7" i="4"/>
  <c r="Y7" i="4"/>
  <c r="AO7" i="4"/>
  <c r="BQ7" i="4"/>
  <c r="A8" i="4"/>
  <c r="AI8" i="4"/>
  <c r="CU8" i="4"/>
  <c r="BH7" i="4"/>
  <c r="BX7" i="4"/>
  <c r="CN7" i="4"/>
  <c r="H8" i="4"/>
  <c r="X8" i="4"/>
  <c r="AW8" i="4"/>
  <c r="CC8" i="4"/>
  <c r="M9" i="4"/>
  <c r="AS9" i="4"/>
  <c r="BY9" i="4"/>
  <c r="K9" i="4"/>
  <c r="AQ9" i="4"/>
  <c r="BW9" i="4"/>
  <c r="AH8" i="4"/>
  <c r="AX8" i="4"/>
  <c r="BN8" i="4"/>
  <c r="CD8" i="4"/>
  <c r="CT8" i="4"/>
  <c r="N9" i="4"/>
  <c r="AD9" i="4"/>
  <c r="AT9" i="4"/>
  <c r="BJ9" i="4"/>
  <c r="BZ9" i="4"/>
  <c r="CP9" i="4"/>
  <c r="Z1" i="4"/>
  <c r="F1" i="4"/>
  <c r="CR1" i="4"/>
  <c r="L2" i="4"/>
  <c r="AB2" i="4"/>
  <c r="AR2" i="4"/>
  <c r="BH2" i="4"/>
  <c r="BX2" i="4"/>
  <c r="CN2" i="4"/>
  <c r="H3" i="4"/>
  <c r="X3" i="4"/>
  <c r="AN3" i="4"/>
  <c r="BD3" i="4"/>
  <c r="BT3" i="4"/>
  <c r="CJ3" i="4"/>
  <c r="D4" i="4"/>
  <c r="T4" i="4"/>
  <c r="AJ4" i="4"/>
  <c r="AZ4" i="4"/>
  <c r="BS4" i="4"/>
  <c r="C5" i="4"/>
  <c r="BX4" i="4"/>
  <c r="CN4" i="4"/>
  <c r="H5" i="4"/>
  <c r="X5" i="4"/>
  <c r="AN5" i="4"/>
  <c r="BD5" i="4"/>
  <c r="BT5" i="4"/>
  <c r="CJ5" i="4"/>
  <c r="D6" i="4"/>
  <c r="T6" i="4"/>
  <c r="AJ6" i="4"/>
  <c r="AZ6" i="4"/>
  <c r="BP6" i="4"/>
  <c r="CF6" i="4"/>
  <c r="CV6" i="4"/>
  <c r="P7" i="4"/>
  <c r="AF7" i="4"/>
  <c r="AY7" i="4"/>
  <c r="CE7" i="4"/>
  <c r="O8" i="4"/>
  <c r="BK8" i="4"/>
  <c r="S5" i="4"/>
  <c r="AI5" i="4"/>
  <c r="AY5" i="4"/>
  <c r="BO5" i="4"/>
  <c r="CE5" i="4"/>
  <c r="CU5" i="4"/>
  <c r="O6" i="4"/>
  <c r="AE6" i="4"/>
  <c r="AU6" i="4"/>
  <c r="BK6" i="4"/>
  <c r="CA6" i="4"/>
  <c r="CQ6" i="4"/>
  <c r="K7" i="4"/>
  <c r="AA7" i="4"/>
  <c r="AQ7" i="4"/>
  <c r="BU7" i="4"/>
  <c r="E8" i="4"/>
  <c r="AQ8" i="4"/>
  <c r="AT7" i="4"/>
  <c r="BJ7" i="4"/>
  <c r="BZ7" i="4"/>
  <c r="CP7" i="4"/>
  <c r="J8" i="4"/>
  <c r="Z8" i="4"/>
  <c r="BA8" i="4"/>
  <c r="CG8" i="4"/>
  <c r="Q9" i="4"/>
  <c r="AW9" i="4"/>
  <c r="CC9" i="4"/>
  <c r="O9" i="4"/>
  <c r="AU9" i="4"/>
  <c r="CA9" i="4"/>
  <c r="AJ8" i="4"/>
  <c r="AZ8" i="4"/>
  <c r="BP8" i="4"/>
  <c r="CF8" i="4"/>
  <c r="CV8" i="4"/>
  <c r="P9" i="4"/>
  <c r="AF9" i="4"/>
  <c r="AV9" i="4"/>
  <c r="BL9" i="4"/>
  <c r="CB9" i="4"/>
  <c r="CR9" i="4"/>
  <c r="V1" i="4"/>
  <c r="D1" i="4"/>
  <c r="CT1" i="4"/>
  <c r="N2" i="4"/>
  <c r="AD2" i="4"/>
  <c r="AT2" i="4"/>
  <c r="BJ2" i="4"/>
  <c r="BZ2" i="4"/>
  <c r="CP2" i="4"/>
  <c r="J3" i="4"/>
  <c r="Z3" i="4"/>
  <c r="AP3" i="4"/>
  <c r="BF3" i="4"/>
  <c r="BV3" i="4"/>
  <c r="CL3" i="4"/>
  <c r="F4" i="4"/>
  <c r="V4" i="4"/>
  <c r="AL4" i="4"/>
  <c r="BB4" i="4"/>
  <c r="BW4" i="4"/>
  <c r="G5" i="4"/>
  <c r="BZ4" i="4"/>
  <c r="CP4" i="4"/>
  <c r="J5" i="4"/>
  <c r="Z5" i="4"/>
  <c r="AP5" i="4"/>
  <c r="BF5" i="4"/>
  <c r="BV5" i="4"/>
  <c r="CL5" i="4"/>
  <c r="F6" i="4"/>
  <c r="V6" i="4"/>
  <c r="AL6" i="4"/>
  <c r="BB6" i="4"/>
  <c r="BR6" i="4"/>
  <c r="CH6" i="4"/>
  <c r="B7" i="4"/>
  <c r="R7" i="4"/>
  <c r="AH7" i="4"/>
  <c r="BC7" i="4"/>
  <c r="CI7" i="4"/>
  <c r="S8" i="4"/>
  <c r="BS8" i="4"/>
  <c r="U5" i="4"/>
  <c r="AK5" i="4"/>
  <c r="BA5" i="4"/>
  <c r="BQ5" i="4"/>
  <c r="CG5" i="4"/>
  <c r="A6" i="4"/>
  <c r="Q6" i="4"/>
  <c r="AG6" i="4"/>
  <c r="AW6" i="4"/>
  <c r="BM6" i="4"/>
  <c r="CC6" i="4"/>
  <c r="CS6" i="4"/>
  <c r="M7" i="4"/>
  <c r="AC7" i="4"/>
  <c r="AS7" i="4"/>
  <c r="BY7" i="4"/>
  <c r="I8" i="4"/>
  <c r="AY8" i="4"/>
  <c r="AV7" i="4"/>
  <c r="BL7" i="4"/>
  <c r="CB7" i="4"/>
  <c r="CR7" i="4"/>
  <c r="L8" i="4"/>
  <c r="AB8" i="4"/>
  <c r="BE8" i="4"/>
  <c r="CK8" i="4"/>
  <c r="U9" i="4"/>
  <c r="BA9" i="4"/>
  <c r="CG9" i="4"/>
  <c r="S9" i="4"/>
  <c r="AY9" i="4"/>
  <c r="CE9" i="4"/>
  <c r="AL8" i="4"/>
  <c r="BB8" i="4"/>
  <c r="BR8" i="4"/>
  <c r="CH8" i="4"/>
  <c r="B9" i="4"/>
  <c r="R9" i="4"/>
  <c r="AH9" i="4"/>
  <c r="AX9" i="4"/>
  <c r="BN9" i="4"/>
  <c r="CD9" i="4"/>
  <c r="CT9" i="4"/>
  <c r="R1" i="4"/>
  <c r="B1" i="4"/>
  <c r="CV1" i="4"/>
  <c r="P2" i="4"/>
  <c r="AF2" i="4"/>
  <c r="AV2" i="4"/>
  <c r="BL2" i="4"/>
  <c r="CB2" i="4"/>
  <c r="CR2" i="4"/>
  <c r="L3" i="4"/>
  <c r="AB3" i="4"/>
  <c r="AR3" i="4"/>
  <c r="BH3" i="4"/>
  <c r="BX3" i="4"/>
  <c r="CN3" i="4"/>
  <c r="H4" i="4"/>
  <c r="X4" i="4"/>
  <c r="AN4" i="4"/>
  <c r="BD4" i="4"/>
  <c r="CA4" i="4"/>
  <c r="K5" i="4"/>
  <c r="CB4" i="4"/>
  <c r="CR4" i="4"/>
  <c r="L5" i="4"/>
  <c r="AB5" i="4"/>
  <c r="AR5" i="4"/>
  <c r="BH5" i="4"/>
  <c r="BX5" i="4"/>
  <c r="CN5" i="4"/>
  <c r="H6" i="4"/>
  <c r="X6" i="4"/>
  <c r="AN6" i="4"/>
  <c r="BD6" i="4"/>
  <c r="BT6" i="4"/>
  <c r="CJ6" i="4"/>
  <c r="D7" i="4"/>
  <c r="T7" i="4"/>
  <c r="AJ7" i="4"/>
  <c r="BG7" i="4"/>
  <c r="CM7" i="4"/>
  <c r="W8" i="4"/>
  <c r="CA8" i="4"/>
  <c r="W5" i="4"/>
  <c r="AM5" i="4"/>
  <c r="BC5" i="4"/>
  <c r="BS5" i="4"/>
  <c r="CI5" i="4"/>
  <c r="C6" i="4"/>
  <c r="S6" i="4"/>
  <c r="AI6" i="4"/>
  <c r="AY6" i="4"/>
  <c r="BO6" i="4"/>
  <c r="CE6" i="4"/>
  <c r="CU6" i="4"/>
  <c r="O7" i="4"/>
  <c r="AE7" i="4"/>
  <c r="AW7" i="4"/>
  <c r="CC7" i="4"/>
  <c r="M8" i="4"/>
  <c r="BG8" i="4"/>
  <c r="AX7" i="4"/>
  <c r="BN7" i="4"/>
  <c r="CD7" i="4"/>
  <c r="CT7" i="4"/>
  <c r="N8" i="4"/>
  <c r="AD8" i="4"/>
  <c r="BI8" i="4"/>
  <c r="CO8" i="4"/>
  <c r="Y9" i="4"/>
  <c r="BE9" i="4"/>
  <c r="CK9" i="4"/>
  <c r="W9" i="4"/>
  <c r="BC9" i="4"/>
  <c r="CI9" i="4"/>
  <c r="AN8" i="4"/>
  <c r="BD8" i="4"/>
  <c r="BT8" i="4"/>
  <c r="CJ8" i="4"/>
  <c r="D9" i="4"/>
  <c r="T9" i="4"/>
  <c r="AJ9" i="4"/>
  <c r="AZ9" i="4"/>
  <c r="BP9" i="4"/>
  <c r="CF9" i="4"/>
  <c r="CV9" i="4"/>
  <c r="P1" i="4"/>
  <c r="A1" i="4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2" i="1"/>
  <c r="A1" i="5" l="1" a="1"/>
  <c r="B1" i="5" s="1"/>
  <c r="B1" i="11" s="1"/>
  <c r="B6" i="5" l="1"/>
  <c r="B6" i="11" s="1"/>
  <c r="C6" i="5"/>
  <c r="C6" i="11" s="1"/>
  <c r="F9" i="5"/>
  <c r="F9" i="11" s="1"/>
  <c r="C9" i="5"/>
  <c r="C9" i="11" s="1"/>
  <c r="G5" i="5"/>
  <c r="G5" i="11" s="1"/>
  <c r="I3" i="5"/>
  <c r="I3" i="11" s="1"/>
  <c r="B2" i="5"/>
  <c r="B2" i="11" s="1"/>
  <c r="D9" i="5"/>
  <c r="D9" i="11" s="1"/>
  <c r="F7" i="5"/>
  <c r="F7" i="11" s="1"/>
  <c r="H5" i="5"/>
  <c r="H5" i="11" s="1"/>
  <c r="A4" i="5"/>
  <c r="A4" i="11" s="1"/>
  <c r="C2" i="5"/>
  <c r="C2" i="11" s="1"/>
  <c r="D4" i="5"/>
  <c r="D4" i="11" s="1"/>
  <c r="G2" i="5"/>
  <c r="G2" i="11" s="1"/>
  <c r="A9" i="5"/>
  <c r="A9" i="11" s="1"/>
  <c r="A2" i="5"/>
  <c r="A2" i="11" s="1"/>
  <c r="F2" i="5"/>
  <c r="F2" i="11" s="1"/>
  <c r="G7" i="5"/>
  <c r="G7" i="11" s="1"/>
  <c r="H7" i="5"/>
  <c r="H7" i="11" s="1"/>
  <c r="C7" i="5"/>
  <c r="C7" i="11" s="1"/>
  <c r="E3" i="5"/>
  <c r="E3" i="11" s="1"/>
  <c r="H1" i="5"/>
  <c r="H1" i="11" s="1"/>
  <c r="E4" i="5"/>
  <c r="E4" i="11" s="1"/>
  <c r="D2" i="5"/>
  <c r="D2" i="11" s="1"/>
  <c r="C4" i="5"/>
  <c r="C4" i="11" s="1"/>
  <c r="I1" i="5"/>
  <c r="I1" i="11" s="1"/>
  <c r="F5" i="5"/>
  <c r="F5" i="11" s="1"/>
  <c r="H8" i="5"/>
  <c r="H8" i="11" s="1"/>
  <c r="G1" i="5"/>
  <c r="G1" i="11" s="1"/>
  <c r="D5" i="5"/>
  <c r="D5" i="11" s="1"/>
  <c r="F8" i="5"/>
  <c r="F8" i="11" s="1"/>
  <c r="C3" i="5"/>
  <c r="C3" i="11" s="1"/>
  <c r="G8" i="5"/>
  <c r="G8" i="11" s="1"/>
  <c r="I6" i="5"/>
  <c r="I6" i="11" s="1"/>
  <c r="B5" i="5"/>
  <c r="B5" i="11" s="1"/>
  <c r="D3" i="5"/>
  <c r="D3" i="11" s="1"/>
  <c r="F1" i="5"/>
  <c r="F1" i="11" s="1"/>
  <c r="G9" i="5"/>
  <c r="G9" i="11" s="1"/>
  <c r="H9" i="5"/>
  <c r="H9" i="11" s="1"/>
  <c r="I5" i="5"/>
  <c r="I5" i="11" s="1"/>
  <c r="A6" i="5"/>
  <c r="A6" i="11" s="1"/>
  <c r="E7" i="5"/>
  <c r="E7" i="11" s="1"/>
  <c r="G3" i="5"/>
  <c r="G3" i="11" s="1"/>
  <c r="D7" i="5"/>
  <c r="D7" i="11" s="1"/>
  <c r="A7" i="5"/>
  <c r="A7" i="11" s="1"/>
  <c r="I8" i="5"/>
  <c r="I8" i="11" s="1"/>
  <c r="F3" i="5"/>
  <c r="F3" i="11" s="1"/>
  <c r="A5" i="5"/>
  <c r="A5" i="11" s="1"/>
  <c r="D8" i="5"/>
  <c r="D8" i="11" s="1"/>
  <c r="F6" i="5"/>
  <c r="F6" i="11" s="1"/>
  <c r="H4" i="5"/>
  <c r="H4" i="11" s="1"/>
  <c r="A3" i="5"/>
  <c r="A3" i="11" s="1"/>
  <c r="C1" i="5"/>
  <c r="C1" i="11" s="1"/>
  <c r="E8" i="5"/>
  <c r="E8" i="11" s="1"/>
  <c r="G6" i="5"/>
  <c r="G6" i="11" s="1"/>
  <c r="I4" i="5"/>
  <c r="I4" i="11" s="1"/>
  <c r="B3" i="5"/>
  <c r="B3" i="11" s="1"/>
  <c r="D1" i="5"/>
  <c r="D1" i="11" s="1"/>
  <c r="I7" i="5"/>
  <c r="I7" i="11" s="1"/>
  <c r="A8" i="5"/>
  <c r="A8" i="11" s="1"/>
  <c r="E9" i="5"/>
  <c r="E9" i="11" s="1"/>
  <c r="B4" i="5"/>
  <c r="B4" i="11" s="1"/>
  <c r="E2" i="5"/>
  <c r="E2" i="11" s="1"/>
  <c r="E5" i="5"/>
  <c r="E5" i="11" s="1"/>
  <c r="B9" i="5"/>
  <c r="B9" i="11" s="1"/>
  <c r="H3" i="5"/>
  <c r="H3" i="11" s="1"/>
  <c r="C5" i="5"/>
  <c r="C5" i="11" s="1"/>
  <c r="B7" i="5"/>
  <c r="B7" i="11" s="1"/>
  <c r="H6" i="5"/>
  <c r="H6" i="11" s="1"/>
  <c r="E1" i="5"/>
  <c r="E1" i="11" s="1"/>
  <c r="I9" i="5"/>
  <c r="I9" i="11" s="1"/>
  <c r="B8" i="5"/>
  <c r="B8" i="11" s="1"/>
  <c r="D6" i="5"/>
  <c r="D6" i="11" s="1"/>
  <c r="F4" i="5"/>
  <c r="F4" i="11" s="1"/>
  <c r="H2" i="5"/>
  <c r="H2" i="11" s="1"/>
  <c r="A1" i="5"/>
  <c r="A1" i="11" s="1"/>
  <c r="C8" i="5"/>
  <c r="C8" i="11" s="1"/>
  <c r="E6" i="5"/>
  <c r="E6" i="11" s="1"/>
  <c r="G4" i="5"/>
  <c r="G4" i="11" s="1"/>
  <c r="I2" i="5"/>
  <c r="I2" i="11" s="1"/>
  <c r="A1" i="12" l="1" a="1"/>
  <c r="A1" i="12" s="1"/>
  <c r="A1" i="6" a="1"/>
  <c r="G2" i="6" s="1"/>
  <c r="H7" i="12" l="1"/>
  <c r="D1" i="12"/>
  <c r="F3" i="12"/>
  <c r="H1" i="12"/>
  <c r="F5" i="12"/>
  <c r="B2" i="12"/>
  <c r="H3" i="12"/>
  <c r="C2" i="12"/>
  <c r="A9" i="12"/>
  <c r="H6" i="12"/>
  <c r="C3" i="12"/>
  <c r="G3" i="12"/>
  <c r="B4" i="12"/>
  <c r="I1" i="12"/>
  <c r="H4" i="12"/>
  <c r="F2" i="12"/>
  <c r="E3" i="12"/>
  <c r="G8" i="12"/>
  <c r="A6" i="12"/>
  <c r="C8" i="12"/>
  <c r="E5" i="12"/>
  <c r="E7" i="12"/>
  <c r="G1" i="12"/>
  <c r="B3" i="12"/>
  <c r="H2" i="12"/>
  <c r="A5" i="12"/>
  <c r="G7" i="12"/>
  <c r="I6" i="12"/>
  <c r="D9" i="12"/>
  <c r="E9" i="12"/>
  <c r="D4" i="12"/>
  <c r="E6" i="12"/>
  <c r="A2" i="12"/>
  <c r="G5" i="12"/>
  <c r="I9" i="12"/>
  <c r="D7" i="12"/>
  <c r="I8" i="12"/>
  <c r="C1" i="12"/>
  <c r="C7" i="12"/>
  <c r="A4" i="12"/>
  <c r="D2" i="12"/>
  <c r="D3" i="12"/>
  <c r="H9" i="12"/>
  <c r="F4" i="12"/>
  <c r="I5" i="12"/>
  <c r="B8" i="12"/>
  <c r="D5" i="12"/>
  <c r="A3" i="12"/>
  <c r="F9" i="12"/>
  <c r="I3" i="12"/>
  <c r="E8" i="12"/>
  <c r="E1" i="12"/>
  <c r="E4" i="12"/>
  <c r="F6" i="12"/>
  <c r="I4" i="12"/>
  <c r="I2" i="12"/>
  <c r="G2" i="12"/>
  <c r="I7" i="12"/>
  <c r="A7" i="12"/>
  <c r="D6" i="12"/>
  <c r="G9" i="12"/>
  <c r="H5" i="12"/>
  <c r="G6" i="12"/>
  <c r="B9" i="12"/>
  <c r="B5" i="12"/>
  <c r="G4" i="12"/>
  <c r="D8" i="12"/>
  <c r="F8" i="12"/>
  <c r="B1" i="12"/>
  <c r="B6" i="12"/>
  <c r="B7" i="12"/>
  <c r="E2" i="12"/>
  <c r="F7" i="12"/>
  <c r="C4" i="12"/>
  <c r="F1" i="12"/>
  <c r="C6" i="12"/>
  <c r="C5" i="12"/>
  <c r="A8" i="12"/>
  <c r="H8" i="12"/>
  <c r="C9" i="12"/>
  <c r="E9" i="6"/>
  <c r="D2" i="6"/>
  <c r="A4" i="6"/>
  <c r="A9" i="6"/>
  <c r="C7" i="6"/>
  <c r="E5" i="6"/>
  <c r="G3" i="6"/>
  <c r="I1" i="6"/>
  <c r="B9" i="6"/>
  <c r="D7" i="6"/>
  <c r="F5" i="6"/>
  <c r="H3" i="6"/>
  <c r="A2" i="6"/>
  <c r="G7" i="6"/>
  <c r="B4" i="6"/>
  <c r="H7" i="6"/>
  <c r="H5" i="6"/>
  <c r="E3" i="6"/>
  <c r="H1" i="6"/>
  <c r="I5" i="6"/>
  <c r="F9" i="6"/>
  <c r="C2" i="6"/>
  <c r="B5" i="6"/>
  <c r="E2" i="6"/>
  <c r="E7" i="6"/>
  <c r="I3" i="6"/>
  <c r="F7" i="6"/>
  <c r="A7" i="6"/>
  <c r="I8" i="6"/>
  <c r="F3" i="6"/>
  <c r="A5" i="6"/>
  <c r="G8" i="6"/>
  <c r="D3" i="6"/>
  <c r="F6" i="6"/>
  <c r="A3" i="6"/>
  <c r="E8" i="6"/>
  <c r="G6" i="6"/>
  <c r="I4" i="6"/>
  <c r="B3" i="6"/>
  <c r="D1" i="6"/>
  <c r="C4" i="6"/>
  <c r="C9" i="6"/>
  <c r="B2" i="6"/>
  <c r="C5" i="6"/>
  <c r="B7" i="6"/>
  <c r="F8" i="6"/>
  <c r="E1" i="6"/>
  <c r="F1" i="6"/>
  <c r="I9" i="6"/>
  <c r="F4" i="6"/>
  <c r="C8" i="6"/>
  <c r="E6" i="6"/>
  <c r="G4" i="6"/>
  <c r="I2" i="6"/>
  <c r="B1" i="6"/>
  <c r="A6" i="6"/>
  <c r="G5" i="6"/>
  <c r="D9" i="6"/>
  <c r="H8" i="6"/>
  <c r="G1" i="6"/>
  <c r="D5" i="6"/>
  <c r="H6" i="6"/>
  <c r="C3" i="6"/>
  <c r="I6" i="6"/>
  <c r="D8" i="6"/>
  <c r="H4" i="6"/>
  <c r="C1" i="6"/>
  <c r="B8" i="6"/>
  <c r="D6" i="6"/>
  <c r="H2" i="6"/>
  <c r="A1" i="6"/>
  <c r="G9" i="6"/>
  <c r="I7" i="6"/>
  <c r="B6" i="6"/>
  <c r="D4" i="6"/>
  <c r="F2" i="6"/>
  <c r="H9" i="6"/>
  <c r="A8" i="6"/>
  <c r="C6" i="6"/>
  <c r="E4" i="6"/>
  <c r="A1" i="13" l="1" a="1"/>
  <c r="CM1" i="13" s="1"/>
  <c r="A1" i="7" a="1"/>
  <c r="P1" i="7" s="1"/>
  <c r="A11" i="6" a="1"/>
  <c r="F17" i="6" s="1"/>
  <c r="S4" i="7" l="1"/>
  <c r="CD6" i="7"/>
  <c r="M4" i="7"/>
  <c r="AE1" i="13"/>
  <c r="CP5" i="7"/>
  <c r="CR4" i="7"/>
  <c r="N7" i="7"/>
  <c r="BK2" i="7"/>
  <c r="I11" i="6"/>
  <c r="CV5" i="7"/>
  <c r="BX5" i="7"/>
  <c r="CL9" i="7"/>
  <c r="BN3" i="7"/>
  <c r="CN4" i="7"/>
  <c r="CH6" i="7"/>
  <c r="BV1" i="7"/>
  <c r="BP4" i="7"/>
  <c r="AY1" i="7"/>
  <c r="I6" i="7"/>
  <c r="D11" i="6"/>
  <c r="CU4" i="13"/>
  <c r="AW6" i="13"/>
  <c r="BB4" i="13"/>
  <c r="BU3" i="13"/>
  <c r="CQ2" i="7"/>
  <c r="AJ3" i="7"/>
  <c r="X8" i="7"/>
  <c r="AA3" i="7"/>
  <c r="CB3" i="7"/>
  <c r="AP6" i="7"/>
  <c r="CF1" i="7"/>
  <c r="AC2" i="7"/>
  <c r="BN6" i="7"/>
  <c r="AQ3" i="7"/>
  <c r="BR2" i="7"/>
  <c r="BH4" i="7"/>
  <c r="CP1" i="7"/>
  <c r="J1" i="7"/>
  <c r="AJ4" i="7"/>
  <c r="BT9" i="7"/>
  <c r="BI5" i="7"/>
  <c r="E16" i="6"/>
  <c r="BC5" i="13"/>
  <c r="J1" i="13"/>
  <c r="CP1" i="13"/>
  <c r="AQ8" i="13"/>
  <c r="Z8" i="7"/>
  <c r="CT7" i="7"/>
  <c r="CL7" i="7"/>
  <c r="AK8" i="13"/>
  <c r="BL4" i="7"/>
  <c r="AK2" i="7"/>
  <c r="BB6" i="7"/>
  <c r="H1" i="7"/>
  <c r="CJ9" i="13"/>
  <c r="AL6" i="7"/>
  <c r="CJ8" i="7"/>
  <c r="R3" i="7"/>
  <c r="AD8" i="7"/>
  <c r="BS2" i="7"/>
  <c r="CA2" i="7"/>
  <c r="AD7" i="7"/>
  <c r="AE4" i="7"/>
  <c r="AJ1" i="7"/>
  <c r="AB4" i="7"/>
  <c r="AD1" i="7"/>
  <c r="CN9" i="7"/>
  <c r="BD3" i="7"/>
  <c r="CJ9" i="7"/>
  <c r="AI7" i="7"/>
  <c r="M9" i="13"/>
  <c r="AS4" i="13"/>
  <c r="AK3" i="13"/>
  <c r="W3" i="13"/>
  <c r="BL3" i="13"/>
  <c r="BR8" i="7"/>
  <c r="B9" i="7"/>
  <c r="AM1" i="7"/>
  <c r="Z2" i="13"/>
  <c r="CL8" i="7"/>
  <c r="BJ1" i="7"/>
  <c r="AL2" i="7"/>
  <c r="G6" i="13"/>
  <c r="CV3" i="7"/>
  <c r="J7" i="7"/>
  <c r="AZ9" i="7"/>
  <c r="AO2" i="7"/>
  <c r="CP8" i="7"/>
  <c r="K5" i="7"/>
  <c r="BO3" i="7"/>
  <c r="AT1" i="7"/>
  <c r="BS4" i="7"/>
  <c r="G3" i="7"/>
  <c r="CO1" i="7"/>
  <c r="U2" i="7"/>
  <c r="R5" i="7"/>
  <c r="AB6" i="7"/>
  <c r="Z4" i="7"/>
  <c r="W6" i="7"/>
  <c r="BQ8" i="13"/>
  <c r="CF1" i="13"/>
  <c r="B8" i="13"/>
  <c r="CG1" i="13"/>
  <c r="BQ9" i="13"/>
  <c r="BI2" i="7"/>
  <c r="D3" i="7"/>
  <c r="AF6" i="7"/>
  <c r="A17" i="6"/>
  <c r="BU1" i="7"/>
  <c r="AD4" i="7"/>
  <c r="F7" i="13"/>
  <c r="AF2" i="7"/>
  <c r="AR4" i="7"/>
  <c r="X6" i="7"/>
  <c r="BF9" i="7"/>
  <c r="BV5" i="7"/>
  <c r="AB1" i="7"/>
  <c r="L7" i="7"/>
  <c r="AY3" i="7"/>
  <c r="BI1" i="7"/>
  <c r="CP6" i="7"/>
  <c r="BR4" i="7"/>
  <c r="AR6" i="7"/>
  <c r="CK3" i="7"/>
  <c r="CM8" i="7"/>
  <c r="BI4" i="13"/>
  <c r="O3" i="13"/>
  <c r="CO5" i="13"/>
  <c r="O9" i="13"/>
  <c r="BX4" i="13"/>
  <c r="CQ4" i="7"/>
  <c r="P3" i="7"/>
  <c r="H8" i="7"/>
  <c r="R1" i="7"/>
  <c r="AK2" i="13"/>
  <c r="C5" i="7"/>
  <c r="Z9" i="7"/>
  <c r="G1" i="7"/>
  <c r="M4" i="13"/>
  <c r="BP1" i="7"/>
  <c r="BR1" i="7"/>
  <c r="AL5" i="7"/>
  <c r="BQ2" i="7"/>
  <c r="O4" i="7"/>
  <c r="CD5" i="7"/>
  <c r="BY1" i="7"/>
  <c r="CT5" i="7"/>
  <c r="W3" i="7"/>
  <c r="AT4" i="7"/>
  <c r="AN6" i="7"/>
  <c r="BM1" i="7"/>
  <c r="BH5" i="7"/>
  <c r="AP7" i="7"/>
  <c r="G4" i="7"/>
  <c r="CD3" i="7"/>
  <c r="CT6" i="7"/>
  <c r="AI3" i="7"/>
  <c r="BX3" i="7"/>
  <c r="AL8" i="7"/>
  <c r="BZ4" i="7"/>
  <c r="X2" i="7"/>
  <c r="BX7" i="7"/>
  <c r="AX6" i="7"/>
  <c r="K3" i="7"/>
  <c r="BF7" i="7"/>
  <c r="BS1" i="7"/>
  <c r="AN7" i="7"/>
  <c r="BQ9" i="7"/>
  <c r="CK4" i="7"/>
  <c r="M6" i="13"/>
  <c r="AF3" i="13"/>
  <c r="AJ7" i="13"/>
  <c r="BX1" i="13"/>
  <c r="BK8" i="13"/>
  <c r="Y3" i="7"/>
  <c r="S8" i="7"/>
  <c r="AK4" i="7"/>
  <c r="BW5" i="7"/>
  <c r="CO3" i="7"/>
  <c r="G13" i="6"/>
  <c r="C16" i="6"/>
  <c r="CK9" i="13"/>
  <c r="C3" i="13"/>
  <c r="AF1" i="13"/>
  <c r="CP9" i="13"/>
  <c r="AM9" i="13"/>
  <c r="X3" i="13"/>
  <c r="P1" i="13"/>
  <c r="BC2" i="13"/>
  <c r="AA9" i="13"/>
  <c r="AC5" i="13"/>
  <c r="CO9" i="13"/>
  <c r="BW9" i="13"/>
  <c r="BT7" i="13"/>
  <c r="CN3" i="13"/>
  <c r="E8" i="13"/>
  <c r="B4" i="13"/>
  <c r="CA6" i="13"/>
  <c r="F5" i="13"/>
  <c r="AR1" i="7"/>
  <c r="BZ6" i="7"/>
  <c r="BT2" i="7"/>
  <c r="AZ5" i="7"/>
  <c r="J5" i="7"/>
  <c r="AV2" i="7"/>
  <c r="BJ7" i="7"/>
  <c r="Z2" i="7"/>
  <c r="BF5" i="7"/>
  <c r="AN4" i="7"/>
  <c r="AM3" i="7"/>
  <c r="BP3" i="7"/>
  <c r="P6" i="7"/>
  <c r="I2" i="7"/>
  <c r="CP7" i="7"/>
  <c r="CM2" i="7"/>
  <c r="BT4" i="7"/>
  <c r="O5" i="7"/>
  <c r="D9" i="7"/>
  <c r="AP1" i="7"/>
  <c r="AI4" i="7"/>
  <c r="BZ7" i="7"/>
  <c r="BL3" i="7"/>
  <c r="CU3" i="7"/>
  <c r="AX7" i="7"/>
  <c r="CK1" i="7"/>
  <c r="V8" i="7"/>
  <c r="CA1" i="7"/>
  <c r="BB4" i="7"/>
  <c r="BF6" i="7"/>
  <c r="H3" i="7"/>
  <c r="BT7" i="7"/>
  <c r="C1" i="7"/>
  <c r="BJ3" i="7"/>
  <c r="A9" i="7"/>
  <c r="W7" i="7"/>
  <c r="I3" i="7"/>
  <c r="BG5" i="7"/>
  <c r="BI3" i="7"/>
  <c r="D14" i="6"/>
  <c r="H17" i="6"/>
  <c r="AI7" i="13"/>
  <c r="BX9" i="13"/>
  <c r="BU1" i="13"/>
  <c r="AC9" i="13"/>
  <c r="CQ6" i="13"/>
  <c r="CI7" i="13"/>
  <c r="AO7" i="13"/>
  <c r="BY8" i="13"/>
  <c r="P4" i="13"/>
  <c r="D4" i="13"/>
  <c r="F8" i="13"/>
  <c r="AI1" i="13"/>
  <c r="AZ7" i="13"/>
  <c r="H5" i="13"/>
  <c r="CH2" i="13"/>
  <c r="AT8" i="13"/>
  <c r="AS3" i="13"/>
  <c r="CJ5" i="13"/>
  <c r="AB7" i="7"/>
  <c r="T1" i="7"/>
  <c r="V9" i="7"/>
  <c r="BK4" i="7"/>
  <c r="AR3" i="7"/>
  <c r="CF5" i="7"/>
  <c r="AJ9" i="7"/>
  <c r="BG2" i="7"/>
  <c r="CA4" i="7"/>
  <c r="J8" i="7"/>
  <c r="AF3" i="7"/>
  <c r="AM4" i="7"/>
  <c r="AP9" i="7"/>
  <c r="C4" i="7"/>
  <c r="CB4" i="7"/>
  <c r="AZ7" i="7"/>
  <c r="J3" i="7"/>
  <c r="B8" i="7"/>
  <c r="A2" i="7"/>
  <c r="BL9" i="7"/>
  <c r="BD5" i="7"/>
  <c r="AM2" i="7"/>
  <c r="AW9" i="7"/>
  <c r="BL1" i="7"/>
  <c r="C8" i="7"/>
  <c r="AO9" i="7"/>
  <c r="Q4" i="7"/>
  <c r="H13" i="6"/>
  <c r="CR7" i="13"/>
  <c r="AE6" i="13"/>
  <c r="CC9" i="13"/>
  <c r="BO9" i="13"/>
  <c r="L8" i="13"/>
  <c r="AY8" i="13"/>
  <c r="CQ9" i="13"/>
  <c r="AW9" i="13"/>
  <c r="CP4" i="13"/>
  <c r="CF7" i="13"/>
  <c r="BC1" i="13"/>
  <c r="CR3" i="13"/>
  <c r="BI9" i="13"/>
  <c r="BG6" i="13"/>
  <c r="T9" i="13"/>
  <c r="B9" i="13"/>
  <c r="E1" i="13"/>
  <c r="BE6" i="13"/>
  <c r="AQ1" i="13"/>
  <c r="CN7" i="7"/>
  <c r="CH9" i="7"/>
  <c r="AJ5" i="7"/>
  <c r="F1" i="7"/>
  <c r="F6" i="7"/>
  <c r="BP9" i="7"/>
  <c r="AA2" i="7"/>
  <c r="S5" i="7"/>
  <c r="AP8" i="7"/>
  <c r="CV2" i="7"/>
  <c r="AT5" i="7"/>
  <c r="T5" i="7"/>
  <c r="AU4" i="7"/>
  <c r="AV4" i="7"/>
  <c r="CV7" i="7"/>
  <c r="BZ2" i="7"/>
  <c r="AH8" i="7"/>
  <c r="CG1" i="7"/>
  <c r="CR9" i="7"/>
  <c r="CJ5" i="7"/>
  <c r="CM1" i="7"/>
  <c r="CG8" i="7"/>
  <c r="CO9" i="7"/>
  <c r="BS7" i="7"/>
  <c r="CO8" i="7"/>
  <c r="I13" i="6"/>
  <c r="A12" i="6"/>
  <c r="C2" i="13"/>
  <c r="L2" i="13"/>
  <c r="AW8" i="13"/>
  <c r="BV9" i="13"/>
  <c r="CM9" i="13"/>
  <c r="AL9" i="13"/>
  <c r="Q4" i="13"/>
  <c r="BL1" i="13"/>
  <c r="R7" i="13"/>
  <c r="CT9" i="13"/>
  <c r="BQ7" i="13"/>
  <c r="AH2" i="13"/>
  <c r="BA1" i="13"/>
  <c r="O1" i="13"/>
  <c r="BJ7" i="13"/>
  <c r="BK4" i="13"/>
  <c r="CV1" i="13"/>
  <c r="BK6" i="13"/>
  <c r="BG7" i="13"/>
  <c r="BN5" i="7"/>
  <c r="CI4" i="7"/>
  <c r="P8" i="7"/>
  <c r="BB2" i="7"/>
  <c r="E1" i="7"/>
  <c r="AX4" i="7"/>
  <c r="CF6" i="7"/>
  <c r="K1" i="7"/>
  <c r="AK9" i="7"/>
  <c r="CC8" i="7"/>
  <c r="E5" i="7"/>
  <c r="AS8" i="7"/>
  <c r="B12" i="6"/>
  <c r="B17" i="6"/>
  <c r="CE7" i="13"/>
  <c r="I9" i="13"/>
  <c r="CP3" i="13"/>
  <c r="T7" i="13"/>
  <c r="AH9" i="13"/>
  <c r="BB7" i="13"/>
  <c r="O8" i="13"/>
  <c r="G7" i="13"/>
  <c r="AQ7" i="13"/>
  <c r="U8" i="13"/>
  <c r="BD3" i="13"/>
  <c r="R8" i="13"/>
  <c r="Y5" i="13"/>
  <c r="AN5" i="13"/>
  <c r="CO2" i="13"/>
  <c r="AZ6" i="13"/>
  <c r="BL5" i="13"/>
  <c r="CI5" i="13"/>
  <c r="BM9" i="13"/>
  <c r="H2" i="7"/>
  <c r="CE3" i="7"/>
  <c r="AH9" i="7"/>
  <c r="BH1" i="7"/>
  <c r="CR6" i="7"/>
  <c r="AH3" i="7"/>
  <c r="CU4" i="7"/>
  <c r="BB9" i="7"/>
  <c r="BX1" i="7"/>
  <c r="B7" i="7"/>
  <c r="B6" i="7"/>
  <c r="AC1" i="7"/>
  <c r="BD8" i="7"/>
  <c r="CI2" i="7"/>
  <c r="BX4" i="7"/>
  <c r="BR6" i="7"/>
  <c r="F8" i="7"/>
  <c r="AV6" i="7"/>
  <c r="CP4" i="7"/>
  <c r="BK1" i="7"/>
  <c r="F9" i="7"/>
  <c r="AL1" i="7"/>
  <c r="BP5" i="7"/>
  <c r="CJ4" i="7"/>
  <c r="AZ3" i="7"/>
  <c r="BN8" i="7"/>
  <c r="BO4" i="7"/>
  <c r="CT9" i="7"/>
  <c r="AN2" i="7"/>
  <c r="BH7" i="7"/>
  <c r="AH2" i="7"/>
  <c r="BB5" i="7"/>
  <c r="H5" i="7"/>
  <c r="BD2" i="7"/>
  <c r="BN7" i="7"/>
  <c r="AE1" i="7"/>
  <c r="BV7" i="7"/>
  <c r="CN1" i="7"/>
  <c r="CF9" i="7"/>
  <c r="BC4" i="7"/>
  <c r="CF2" i="7"/>
  <c r="AH7" i="7"/>
  <c r="C3" i="7"/>
  <c r="CB6" i="7"/>
  <c r="BJ4" i="7"/>
  <c r="M1" i="7"/>
  <c r="CH5" i="7"/>
  <c r="BR9" i="7"/>
  <c r="BE2" i="7"/>
  <c r="CL5" i="7"/>
  <c r="BD4" i="7"/>
  <c r="AX5" i="7"/>
  <c r="T3" i="7"/>
  <c r="AF8" i="7"/>
  <c r="BF1" i="7"/>
  <c r="CT8" i="7"/>
  <c r="AU3" i="7"/>
  <c r="B4" i="7"/>
  <c r="AF7" i="7"/>
  <c r="U9" i="7"/>
  <c r="AS7" i="7"/>
  <c r="Q8" i="7"/>
  <c r="CM9" i="7"/>
  <c r="AC8" i="7"/>
  <c r="C19" i="6"/>
  <c r="D15" i="6"/>
  <c r="BS7" i="13"/>
  <c r="BI7" i="13"/>
  <c r="AT9" i="13"/>
  <c r="CV7" i="13"/>
  <c r="BT4" i="13"/>
  <c r="D3" i="13"/>
  <c r="AK9" i="13"/>
  <c r="BR2" i="13"/>
  <c r="CE2" i="13"/>
  <c r="BD9" i="13"/>
  <c r="BU6" i="13"/>
  <c r="CT2" i="13"/>
  <c r="F6" i="13"/>
  <c r="BN3" i="13"/>
  <c r="CJ4" i="13"/>
  <c r="AV6" i="13"/>
  <c r="N5" i="13"/>
  <c r="AU7" i="13"/>
  <c r="CG5" i="13"/>
  <c r="AF4" i="7"/>
  <c r="AD5" i="7"/>
  <c r="N4" i="7"/>
  <c r="AH5" i="7"/>
  <c r="AV3" i="7"/>
  <c r="BZ5" i="7"/>
  <c r="CB2" i="7"/>
  <c r="BJ5" i="7"/>
  <c r="AN8" i="7"/>
  <c r="B3" i="7"/>
  <c r="BL2" i="7"/>
  <c r="H6" i="7"/>
  <c r="AL9" i="7"/>
  <c r="B2" i="7"/>
  <c r="CE4" i="7"/>
  <c r="CD7" i="7"/>
  <c r="CN3" i="7"/>
  <c r="BE1" i="7"/>
  <c r="BR5" i="7"/>
  <c r="CH8" i="7"/>
  <c r="AP2" i="7"/>
  <c r="AS1" i="7"/>
  <c r="CB8" i="7"/>
  <c r="AL4" i="7"/>
  <c r="Z1" i="7"/>
  <c r="F7" i="7"/>
  <c r="N9" i="7"/>
  <c r="CN2" i="7"/>
  <c r="CA3" i="7"/>
  <c r="D8" i="7"/>
  <c r="CH3" i="7"/>
  <c r="AW1" i="7"/>
  <c r="CB7" i="7"/>
  <c r="AT3" i="7"/>
  <c r="CO7" i="7"/>
  <c r="BU7" i="7"/>
  <c r="CC6" i="7"/>
  <c r="AA6" i="7"/>
  <c r="A8" i="7"/>
  <c r="BY2" i="7"/>
  <c r="BG9" i="7"/>
  <c r="CS4" i="7"/>
  <c r="Q7" i="7"/>
  <c r="AY9" i="7"/>
  <c r="C11" i="6"/>
  <c r="I17" i="6"/>
  <c r="A16" i="6"/>
  <c r="H15" i="6"/>
  <c r="G5" i="13"/>
  <c r="Z8" i="13"/>
  <c r="CA8" i="13"/>
  <c r="CH9" i="13"/>
  <c r="Q9" i="13"/>
  <c r="AY4" i="13"/>
  <c r="CO7" i="13"/>
  <c r="BI5" i="13"/>
  <c r="Z4" i="13"/>
  <c r="BN7" i="13"/>
  <c r="V9" i="13"/>
  <c r="BN2" i="13"/>
  <c r="AH8" i="13"/>
  <c r="A9" i="13"/>
  <c r="CG8" i="13"/>
  <c r="Q1" i="13"/>
  <c r="I8" i="13"/>
  <c r="AI3" i="13"/>
  <c r="BZ7" i="13"/>
  <c r="CR2" i="13"/>
  <c r="AT1" i="13"/>
  <c r="AX4" i="13"/>
  <c r="Z9" i="13"/>
  <c r="AJ3" i="13"/>
  <c r="BR7" i="13"/>
  <c r="P7" i="13"/>
  <c r="N4" i="13"/>
  <c r="Y3" i="13"/>
  <c r="AX1" i="13"/>
  <c r="CV3" i="13"/>
  <c r="AQ2" i="13"/>
  <c r="CK2" i="13"/>
  <c r="G2" i="13"/>
  <c r="X1" i="13"/>
  <c r="CL3" i="13"/>
  <c r="BB9" i="13"/>
  <c r="Q8" i="13"/>
  <c r="N8" i="7"/>
  <c r="BH3" i="7"/>
  <c r="P2" i="7"/>
  <c r="CN5" i="7"/>
  <c r="R9" i="7"/>
  <c r="N1" i="7"/>
  <c r="BT6" i="7"/>
  <c r="CR8" i="7"/>
  <c r="CL3" i="7"/>
  <c r="BO2" i="7"/>
  <c r="V7" i="7"/>
  <c r="BJ9" i="7"/>
  <c r="BX2" i="7"/>
  <c r="AQ4" i="7"/>
  <c r="T8" i="7"/>
  <c r="BR3" i="7"/>
  <c r="A1" i="7"/>
  <c r="CR7" i="7"/>
  <c r="AD3" i="7"/>
  <c r="BM6" i="7"/>
  <c r="I7" i="7"/>
  <c r="X1" i="7"/>
  <c r="CQ5" i="7"/>
  <c r="CG7" i="7"/>
  <c r="BD1" i="7"/>
  <c r="AQ9" i="7"/>
  <c r="AK3" i="7"/>
  <c r="BM3" i="7"/>
  <c r="CQ6" i="7"/>
  <c r="F16" i="6"/>
  <c r="D16" i="6"/>
  <c r="D13" i="6"/>
  <c r="A14" i="6"/>
  <c r="X4" i="13"/>
  <c r="BF3" i="13"/>
  <c r="BJ4" i="13"/>
  <c r="CN6" i="13"/>
  <c r="A1" i="13"/>
  <c r="CN8" i="13"/>
  <c r="AC4" i="13"/>
  <c r="BJ9" i="13"/>
  <c r="AV1" i="13"/>
  <c r="BI2" i="13"/>
  <c r="V8" i="13"/>
  <c r="AP5" i="13"/>
  <c r="BK9" i="13"/>
  <c r="BX7" i="13"/>
  <c r="BB1" i="13"/>
  <c r="BW2" i="13"/>
  <c r="BA6" i="13"/>
  <c r="H9" i="13"/>
  <c r="CB8" i="13"/>
  <c r="A6" i="13"/>
  <c r="BV4" i="13"/>
  <c r="BO5" i="13"/>
  <c r="W5" i="13"/>
  <c r="L6" i="13"/>
  <c r="D8" i="13"/>
  <c r="AH3" i="13"/>
  <c r="T6" i="13"/>
  <c r="BK2" i="13"/>
  <c r="AQ4" i="13"/>
  <c r="AA2" i="13"/>
  <c r="BS6" i="13"/>
  <c r="AZ9" i="13"/>
  <c r="AS1" i="13"/>
  <c r="AK5" i="13"/>
  <c r="J6" i="13"/>
  <c r="BM7" i="13"/>
  <c r="BP4" i="13"/>
  <c r="BZ8" i="7"/>
  <c r="AB3" i="7"/>
  <c r="BW2" i="7"/>
  <c r="AH6" i="7"/>
  <c r="AX9" i="7"/>
  <c r="M2" i="7"/>
  <c r="D7" i="7"/>
  <c r="AB9" i="7"/>
  <c r="BV3" i="7"/>
  <c r="S2" i="7"/>
  <c r="AL7" i="7"/>
  <c r="CP9" i="7"/>
  <c r="BM2" i="7"/>
  <c r="BL5" i="7"/>
  <c r="CV8" i="7"/>
  <c r="BV2" i="7"/>
  <c r="AA4" i="7"/>
  <c r="H9" i="7"/>
  <c r="BN1" i="7"/>
  <c r="Y7" i="7"/>
  <c r="CS6" i="7"/>
  <c r="AO7" i="7"/>
  <c r="BY3" i="7"/>
  <c r="BU6" i="7"/>
  <c r="CQ9" i="7"/>
  <c r="AE8" i="7"/>
  <c r="AV1" i="7"/>
  <c r="AG3" i="7"/>
  <c r="AI5" i="7"/>
  <c r="D18" i="6"/>
  <c r="B18" i="6"/>
  <c r="F11" i="6"/>
  <c r="A8" i="13"/>
  <c r="AN3" i="13"/>
  <c r="AG5" i="13"/>
  <c r="CH8" i="13"/>
  <c r="AX2" i="13"/>
  <c r="AS6" i="13"/>
  <c r="AJ4" i="13"/>
  <c r="CF9" i="13"/>
  <c r="S8" i="13"/>
  <c r="AO5" i="13"/>
  <c r="U1" i="13"/>
  <c r="BR9" i="13"/>
  <c r="AO6" i="13"/>
  <c r="J2" i="13"/>
  <c r="CM6" i="13"/>
  <c r="BE5" i="13"/>
  <c r="AV8" i="13"/>
  <c r="CB7" i="13"/>
  <c r="CJ8" i="13"/>
  <c r="U9" i="13"/>
  <c r="CD5" i="13"/>
  <c r="R6" i="13"/>
  <c r="V5" i="13"/>
  <c r="CJ3" i="13"/>
  <c r="AI8" i="13"/>
  <c r="U4" i="13"/>
  <c r="AN1" i="13"/>
  <c r="CQ4" i="13"/>
  <c r="AL4" i="13"/>
  <c r="AZ8" i="13"/>
  <c r="BD5" i="13"/>
  <c r="AF8" i="13"/>
  <c r="CK8" i="13"/>
  <c r="CQ2" i="13"/>
  <c r="CJ7" i="13"/>
  <c r="O6" i="13"/>
  <c r="I2" i="13"/>
  <c r="BP5" i="13"/>
  <c r="J9" i="7"/>
  <c r="BF2" i="7"/>
  <c r="S3" i="7"/>
  <c r="BJ6" i="7"/>
  <c r="L5" i="7"/>
  <c r="CC1" i="7"/>
  <c r="AJ7" i="7"/>
  <c r="BH9" i="7"/>
  <c r="AP3" i="7"/>
  <c r="C2" i="7"/>
  <c r="CH7" i="7"/>
  <c r="CF4" i="7"/>
  <c r="AG2" i="7"/>
  <c r="L6" i="7"/>
  <c r="AV9" i="7"/>
  <c r="AX1" i="7"/>
  <c r="AN5" i="7"/>
  <c r="AN9" i="7"/>
  <c r="BC2" i="7"/>
  <c r="BE3" i="7"/>
  <c r="AK5" i="7"/>
  <c r="AG5" i="7"/>
  <c r="M3" i="7"/>
  <c r="Y6" i="7"/>
  <c r="CU8" i="7"/>
  <c r="BO7" i="7"/>
  <c r="BY4" i="7"/>
  <c r="G9" i="7"/>
  <c r="M5" i="7"/>
  <c r="E13" i="6"/>
  <c r="I19" i="6"/>
  <c r="B13" i="6"/>
  <c r="S9" i="13"/>
  <c r="V6" i="13"/>
  <c r="CL5" i="13"/>
  <c r="CE3" i="13"/>
  <c r="D2" i="13"/>
  <c r="CA9" i="13"/>
  <c r="BQ3" i="13"/>
  <c r="I1" i="13"/>
  <c r="BR1" i="13"/>
  <c r="M8" i="13"/>
  <c r="P3" i="13"/>
  <c r="V1" i="13"/>
  <c r="CG2" i="13"/>
  <c r="AN8" i="13"/>
  <c r="AD8" i="13"/>
  <c r="AI9" i="13"/>
  <c r="E2" i="13"/>
  <c r="BT9" i="13"/>
  <c r="AK7" i="13"/>
  <c r="M1" i="13"/>
  <c r="N8" i="13"/>
  <c r="AV3" i="13"/>
  <c r="AG1" i="13"/>
  <c r="BG1" i="13"/>
  <c r="CF2" i="13"/>
  <c r="AG2" i="13"/>
  <c r="AA5" i="13"/>
  <c r="AR6" i="13"/>
  <c r="K4" i="13"/>
  <c r="BX3" i="13"/>
  <c r="AX5" i="13"/>
  <c r="BN8" i="13"/>
  <c r="BE4" i="13"/>
  <c r="AX6" i="13"/>
  <c r="AE3" i="13"/>
  <c r="F3" i="13"/>
  <c r="AP8" i="13"/>
  <c r="CC2" i="13"/>
  <c r="CG6" i="7"/>
  <c r="AQ8" i="7"/>
  <c r="S9" i="7"/>
  <c r="I5" i="7"/>
  <c r="AY9" i="13"/>
  <c r="CB1" i="13"/>
  <c r="AC6" i="13"/>
  <c r="AV2" i="13"/>
  <c r="BZ8" i="13"/>
  <c r="AV9" i="13"/>
  <c r="AK4" i="13"/>
  <c r="O5" i="13"/>
  <c r="CO8" i="13"/>
  <c r="BK1" i="13"/>
  <c r="BD7" i="13"/>
  <c r="N3" i="13"/>
  <c r="CG4" i="13"/>
  <c r="AG7" i="13"/>
  <c r="BB8" i="13"/>
  <c r="T3" i="13"/>
  <c r="AY2" i="13"/>
  <c r="BT8" i="13"/>
  <c r="BA8" i="13"/>
  <c r="CU9" i="13"/>
  <c r="AS2" i="13"/>
  <c r="AA4" i="13"/>
  <c r="Y8" i="13"/>
  <c r="BA7" i="13"/>
  <c r="A7" i="13"/>
  <c r="BR8" i="13"/>
  <c r="BZ6" i="13"/>
  <c r="AP3" i="13"/>
  <c r="CH1" i="13"/>
  <c r="AT3" i="13"/>
  <c r="K7" i="13"/>
  <c r="H2" i="13"/>
  <c r="CI8" i="13"/>
  <c r="BH9" i="13"/>
  <c r="CC1" i="13"/>
  <c r="AL2" i="13"/>
  <c r="Z5" i="13"/>
  <c r="CI9" i="13"/>
  <c r="CL8" i="13"/>
  <c r="BR6" i="13"/>
  <c r="CS8" i="13"/>
  <c r="C9" i="13"/>
  <c r="AX8" i="13"/>
  <c r="BM6" i="13"/>
  <c r="CR5" i="13"/>
  <c r="CG9" i="13"/>
  <c r="CV2" i="13"/>
  <c r="AR1" i="13"/>
  <c r="BZ9" i="13"/>
  <c r="AE2" i="13"/>
  <c r="BQ6" i="13"/>
  <c r="CL2" i="13"/>
  <c r="AW4" i="13"/>
  <c r="AJ9" i="13"/>
  <c r="T2" i="13"/>
  <c r="CD4" i="13"/>
  <c r="CQ7" i="13"/>
  <c r="X5" i="13"/>
  <c r="BY9" i="13"/>
  <c r="BS9" i="13"/>
  <c r="AM4" i="13"/>
  <c r="AM6" i="13"/>
  <c r="A4" i="13"/>
  <c r="AU9" i="13"/>
  <c r="BA9" i="13"/>
  <c r="BH6" i="13"/>
  <c r="AP2" i="13"/>
  <c r="CR1" i="13"/>
  <c r="BO1" i="13"/>
  <c r="CH7" i="13"/>
  <c r="AD2" i="13"/>
  <c r="BF6" i="13"/>
  <c r="C7" i="13"/>
  <c r="G3" i="13"/>
  <c r="CQ8" i="13"/>
  <c r="BH4" i="13"/>
  <c r="CT8" i="13"/>
  <c r="AB4" i="13"/>
  <c r="CB5" i="13"/>
  <c r="AY7" i="7"/>
  <c r="M6" i="7"/>
  <c r="BA6" i="7"/>
  <c r="CU6" i="7"/>
  <c r="C9" i="7"/>
  <c r="AW3" i="7"/>
  <c r="AC7" i="13"/>
  <c r="I7" i="13"/>
  <c r="AP7" i="13"/>
  <c r="CS1" i="13"/>
  <c r="U3" i="13"/>
  <c r="CS3" i="13"/>
  <c r="BU5" i="13"/>
  <c r="C8" i="13"/>
  <c r="R9" i="13"/>
  <c r="Y6" i="13"/>
  <c r="L9" i="13"/>
  <c r="BA4" i="13"/>
  <c r="CE9" i="13"/>
  <c r="CU8" i="13"/>
  <c r="CP6" i="13"/>
  <c r="BJ1" i="13"/>
  <c r="AB7" i="13"/>
  <c r="BC9" i="13"/>
  <c r="E7" i="13"/>
  <c r="D9" i="13"/>
  <c r="BE8" i="13"/>
  <c r="AC2" i="13"/>
  <c r="CN2" i="13"/>
  <c r="AE4" i="13"/>
  <c r="BW8" i="13"/>
  <c r="BH7" i="13"/>
  <c r="Y4" i="13"/>
  <c r="AD7" i="13"/>
  <c r="CA3" i="13"/>
  <c r="CP7" i="13"/>
  <c r="CR8" i="13"/>
  <c r="BS3" i="13"/>
  <c r="E9" i="13"/>
  <c r="AM8" i="13"/>
  <c r="AR9" i="13"/>
  <c r="BS1" i="13"/>
  <c r="BK7" i="13"/>
  <c r="BQ2" i="13"/>
  <c r="AW3" i="13"/>
  <c r="BU4" i="13"/>
  <c r="S1" i="13"/>
  <c r="V4" i="13"/>
  <c r="CC3" i="13"/>
  <c r="CK4" i="13"/>
  <c r="CU1" i="13"/>
  <c r="W8" i="13"/>
  <c r="AW1" i="13"/>
  <c r="AY1" i="13"/>
  <c r="BB2" i="13"/>
  <c r="CM4" i="13"/>
  <c r="AB6" i="13"/>
  <c r="CC6" i="13"/>
  <c r="BI8" i="13"/>
  <c r="AF6" i="13"/>
  <c r="CD6" i="13"/>
  <c r="CA2" i="13"/>
  <c r="AA1" i="13"/>
  <c r="BS8" i="13"/>
  <c r="BR4" i="13"/>
  <c r="BZ4" i="13"/>
  <c r="BG3" i="13"/>
  <c r="CS7" i="13"/>
  <c r="BH3" i="13"/>
  <c r="CH4" i="13"/>
  <c r="BV7" i="13"/>
  <c r="AD5" i="13"/>
  <c r="G4" i="13"/>
  <c r="B7" i="13"/>
  <c r="W4" i="13"/>
  <c r="CV8" i="13"/>
  <c r="BD1" i="13"/>
  <c r="AA7" i="13"/>
  <c r="AZ4" i="13"/>
  <c r="AP6" i="13"/>
  <c r="CD3" i="13"/>
  <c r="CT1" i="13"/>
  <c r="AH7" i="13"/>
  <c r="E3" i="13"/>
  <c r="CD9" i="13"/>
  <c r="AK6" i="7"/>
  <c r="CE6" i="7"/>
  <c r="AA7" i="7"/>
  <c r="AO1" i="13"/>
  <c r="J7" i="13"/>
  <c r="E5" i="13"/>
  <c r="BA3" i="13"/>
  <c r="AZ1" i="13"/>
  <c r="CH6" i="13"/>
  <c r="A2" i="13"/>
  <c r="S2" i="13"/>
  <c r="AO8" i="13"/>
  <c r="T5" i="13"/>
  <c r="CU2" i="13"/>
  <c r="CK6" i="13"/>
  <c r="BL7" i="13"/>
  <c r="CI1" i="13"/>
  <c r="Y7" i="13"/>
  <c r="AB8" i="13"/>
  <c r="D7" i="13"/>
  <c r="AU3" i="13"/>
  <c r="BM8" i="13"/>
  <c r="G1" i="13"/>
  <c r="CI3" i="13"/>
  <c r="CB3" i="13"/>
  <c r="BH8" i="13"/>
  <c r="J9" i="13"/>
  <c r="CD1" i="13"/>
  <c r="AT6" i="13"/>
  <c r="P5" i="13"/>
  <c r="BQ5" i="13"/>
  <c r="N7" i="13"/>
  <c r="CD8" i="13"/>
  <c r="CB9" i="13"/>
  <c r="B1" i="13"/>
  <c r="Q5" i="13"/>
  <c r="AL8" i="13"/>
  <c r="BP9" i="13"/>
  <c r="AI4" i="13"/>
  <c r="CL7" i="13"/>
  <c r="W1" i="13"/>
  <c r="BK3" i="13"/>
  <c r="AR7" i="13"/>
  <c r="CB6" i="13"/>
  <c r="AX9" i="13"/>
  <c r="G8" i="13"/>
  <c r="D1" i="13"/>
  <c r="L1" i="13"/>
  <c r="BY1" i="13"/>
  <c r="BP3" i="13"/>
  <c r="CN4" i="13"/>
  <c r="BD4" i="13"/>
  <c r="BL6" i="13"/>
  <c r="W2" i="13"/>
  <c r="AL1" i="13"/>
  <c r="CI6" i="13"/>
  <c r="CM3" i="13"/>
  <c r="BT2" i="13"/>
  <c r="CN5" i="13"/>
  <c r="AZ2" i="13"/>
  <c r="W7" i="13"/>
  <c r="D6" i="13"/>
  <c r="A3" i="13"/>
  <c r="CB4" i="13"/>
  <c r="R2" i="13"/>
  <c r="CE6" i="13"/>
  <c r="BT5" i="13"/>
  <c r="CT6" i="13"/>
  <c r="BF4" i="13"/>
  <c r="AQ3" i="13"/>
  <c r="AH4" i="13"/>
  <c r="P6" i="13"/>
  <c r="BO2" i="13"/>
  <c r="BO3" i="13"/>
  <c r="CI4" i="13"/>
  <c r="D5" i="13"/>
  <c r="CF8" i="13"/>
  <c r="BN6" i="13"/>
  <c r="CA4" i="13"/>
  <c r="CC8" i="13"/>
  <c r="AQ6" i="13"/>
  <c r="AN7" i="13"/>
  <c r="CS3" i="7"/>
  <c r="AY6" i="7"/>
  <c r="K7" i="7"/>
  <c r="AA8" i="13"/>
  <c r="AP9" i="13"/>
  <c r="AG3" i="13"/>
  <c r="W9" i="13"/>
  <c r="BM3" i="13"/>
  <c r="AG8" i="13"/>
  <c r="CG7" i="13"/>
  <c r="AG6" i="13"/>
  <c r="AR2" i="13"/>
  <c r="BM1" i="13"/>
  <c r="CP2" i="13"/>
  <c r="M7" i="13"/>
  <c r="Q2" i="13"/>
  <c r="AR8" i="13"/>
  <c r="N9" i="13"/>
  <c r="P8" i="13"/>
  <c r="BY6" i="13"/>
  <c r="CV4" i="13"/>
  <c r="AO4" i="13"/>
  <c r="K9" i="13"/>
  <c r="R5" i="13"/>
  <c r="J8" i="13"/>
  <c r="BC7" i="13"/>
  <c r="AD9" i="13"/>
  <c r="CC7" i="13"/>
  <c r="U7" i="13"/>
  <c r="CC4" i="13"/>
  <c r="CD7" i="13"/>
  <c r="BM5" i="13"/>
  <c r="CA7" i="13"/>
  <c r="C6" i="13"/>
  <c r="CK7" i="13"/>
  <c r="BF7" i="13"/>
  <c r="I6" i="13"/>
  <c r="AV7" i="13"/>
  <c r="CU7" i="13"/>
  <c r="I4" i="13"/>
  <c r="BF5" i="13"/>
  <c r="CP8" i="13"/>
  <c r="Z1" i="13"/>
  <c r="CJ1" i="13"/>
  <c r="AE9" i="13"/>
  <c r="F2" i="13"/>
  <c r="AI6" i="13"/>
  <c r="BV3" i="13"/>
  <c r="CE4" i="13"/>
  <c r="BG4" i="13"/>
  <c r="BW3" i="13"/>
  <c r="E4" i="13"/>
  <c r="BP7" i="13"/>
  <c r="BC6" i="13"/>
  <c r="Y9" i="13"/>
  <c r="BV8" i="13"/>
  <c r="BB5" i="13"/>
  <c r="AV4" i="13"/>
  <c r="AF2" i="13"/>
  <c r="CF5" i="13"/>
  <c r="AF9" i="13"/>
  <c r="CG6" i="13"/>
  <c r="X9" i="13"/>
  <c r="AU5" i="13"/>
  <c r="H3" i="13"/>
  <c r="BO7" i="13"/>
  <c r="K1" i="13"/>
  <c r="AC3" i="13"/>
  <c r="CH3" i="13"/>
  <c r="K6" i="13"/>
  <c r="AU8" i="13"/>
  <c r="BW1" i="13"/>
  <c r="AK6" i="13"/>
  <c r="AJ6" i="13"/>
  <c r="AG4" i="13"/>
  <c r="N1" i="13"/>
  <c r="J5" i="13"/>
  <c r="AJ5" i="13"/>
  <c r="H7" i="13"/>
  <c r="CE1" i="13"/>
  <c r="AR4" i="13"/>
  <c r="AH1" i="13"/>
  <c r="BW7" i="13"/>
  <c r="AL7" i="13"/>
  <c r="AV5" i="13"/>
  <c r="BU8" i="13"/>
  <c r="BY2" i="13"/>
  <c r="BG2" i="13"/>
  <c r="Y2" i="13"/>
  <c r="CI2" i="13"/>
  <c r="AC8" i="13"/>
  <c r="AO3" i="13"/>
  <c r="BO6" i="13"/>
  <c r="AI2" i="13"/>
  <c r="BE3" i="13"/>
  <c r="BG8" i="13"/>
  <c r="Z3" i="13"/>
  <c r="CJ2" i="13"/>
  <c r="AY7" i="13"/>
  <c r="L3" i="13"/>
  <c r="AR5" i="13"/>
  <c r="BU2" i="13"/>
  <c r="BY7" i="13"/>
  <c r="BA5" i="13"/>
  <c r="AY5" i="13"/>
  <c r="AU2" i="13"/>
  <c r="AU6" i="13"/>
  <c r="U6" i="13"/>
  <c r="BE7" i="13"/>
  <c r="BS2" i="13"/>
  <c r="AF4" i="13"/>
  <c r="AH6" i="13"/>
  <c r="CU6" i="13"/>
  <c r="BG9" i="13"/>
  <c r="AN4" i="13"/>
  <c r="BW5" i="13"/>
  <c r="BL4" i="13"/>
  <c r="CM8" i="13"/>
  <c r="AL3" i="13"/>
  <c r="F9" i="13"/>
  <c r="CS6" i="13"/>
  <c r="F4" i="13"/>
  <c r="C4" i="13"/>
  <c r="AK1" i="13"/>
  <c r="P2" i="13"/>
  <c r="CV9" i="13"/>
  <c r="CN9" i="13"/>
  <c r="Q7" i="13"/>
  <c r="BL2" i="13"/>
  <c r="C1" i="13"/>
  <c r="BE2" i="13"/>
  <c r="BB3" i="13"/>
  <c r="T8" i="13"/>
  <c r="AH5" i="13"/>
  <c r="CL6" i="13"/>
  <c r="CQ5" i="13"/>
  <c r="CV6" i="13"/>
  <c r="BP8" i="13"/>
  <c r="AA3" i="13"/>
  <c r="AS7" i="13"/>
  <c r="X8" i="13"/>
  <c r="CP5" i="13"/>
  <c r="AM5" i="13"/>
  <c r="BM4" i="13"/>
  <c r="F1" i="13"/>
  <c r="AA6" i="13"/>
  <c r="CL1" i="13"/>
  <c r="AW7" i="13"/>
  <c r="I5" i="13"/>
  <c r="BN4" i="13"/>
  <c r="M2" i="13"/>
  <c r="CN1" i="13"/>
  <c r="CM7" i="13"/>
  <c r="CL4" i="13"/>
  <c r="AN2" i="13"/>
  <c r="CR6" i="13"/>
  <c r="AG9" i="13"/>
  <c r="BZ2" i="13"/>
  <c r="AM3" i="13"/>
  <c r="AR3" i="13"/>
  <c r="AO2" i="13"/>
  <c r="O7" i="13"/>
  <c r="AL5" i="13"/>
  <c r="BJ6" i="13"/>
  <c r="CM5" i="13"/>
  <c r="BZ5" i="13"/>
  <c r="CO1" i="13"/>
  <c r="AU1" i="13"/>
  <c r="AJ8" i="13"/>
  <c r="BR3" i="13"/>
  <c r="BY5" i="13"/>
  <c r="CS4" i="13"/>
  <c r="CO6" i="13"/>
  <c r="V2" i="13"/>
  <c r="CK3" i="13"/>
  <c r="CQ1" i="13"/>
  <c r="AT7" i="13"/>
  <c r="CD2" i="13"/>
  <c r="AB1" i="13"/>
  <c r="BH1" i="13"/>
  <c r="CF6" i="13"/>
  <c r="BB6" i="13"/>
  <c r="BY4" i="13"/>
  <c r="CK5" i="13"/>
  <c r="AY3" i="13"/>
  <c r="K3" i="13"/>
  <c r="CG3" i="13"/>
  <c r="BW4" i="13"/>
  <c r="N6" i="13"/>
  <c r="Q3" i="13"/>
  <c r="CE5" i="13"/>
  <c r="S6" i="13"/>
  <c r="AB2" i="13"/>
  <c r="CF4" i="13"/>
  <c r="CO3" i="13"/>
  <c r="AN9" i="13"/>
  <c r="AB9" i="13"/>
  <c r="V7" i="13"/>
  <c r="BK5" i="13"/>
  <c r="CO4" i="13"/>
  <c r="E6" i="13"/>
  <c r="BV5" i="13"/>
  <c r="H6" i="13"/>
  <c r="AZ5" i="13"/>
  <c r="BT3" i="13"/>
  <c r="CQ3" i="13"/>
  <c r="BF9" i="13"/>
  <c r="CA1" i="13"/>
  <c r="BG5" i="13"/>
  <c r="H1" i="13"/>
  <c r="T4" i="13"/>
  <c r="CC5" i="13"/>
  <c r="BN1" i="13"/>
  <c r="S7" i="13"/>
  <c r="AC1" i="13"/>
  <c r="BO8" i="13"/>
  <c r="BC8" i="13"/>
  <c r="CS5" i="13"/>
  <c r="CN7" i="13"/>
  <c r="CS2" i="13"/>
  <c r="AT5" i="13"/>
  <c r="AI5" i="13"/>
  <c r="AY6" i="13"/>
  <c r="O2" i="13"/>
  <c r="P9" i="13"/>
  <c r="BE1" i="13"/>
  <c r="S5" i="13"/>
  <c r="BS5" i="13"/>
  <c r="L5" i="13"/>
  <c r="CS9" i="13"/>
  <c r="BE9" i="13"/>
  <c r="BQ4" i="13"/>
  <c r="BJ2" i="13"/>
  <c r="N2" i="13"/>
  <c r="C5" i="13"/>
  <c r="AD6" i="13"/>
  <c r="AU4" i="13"/>
  <c r="CE8" i="13"/>
  <c r="Z7" i="13"/>
  <c r="AS5" i="13"/>
  <c r="R3" i="13"/>
  <c r="BF2" i="13"/>
  <c r="H8" i="13"/>
  <c r="R1" i="13"/>
  <c r="X2" i="13"/>
  <c r="BV1" i="13"/>
  <c r="S4" i="13"/>
  <c r="AB3" i="13"/>
  <c r="K2" i="13"/>
  <c r="BH2" i="13"/>
  <c r="AS8" i="13"/>
  <c r="V3" i="13"/>
  <c r="CH5" i="13"/>
  <c r="Y1" i="13"/>
  <c r="T1" i="13"/>
  <c r="AB5" i="13"/>
  <c r="Z6" i="13"/>
  <c r="BQ1" i="13"/>
  <c r="AO9" i="13"/>
  <c r="BC3" i="13"/>
  <c r="CT4" i="13"/>
  <c r="AT2" i="13"/>
  <c r="CT5" i="13"/>
  <c r="BI6" i="13"/>
  <c r="A5" i="13"/>
  <c r="BJ8" i="13"/>
  <c r="BV6" i="13"/>
  <c r="BT1" i="13"/>
  <c r="W6" i="13"/>
  <c r="BW6" i="13"/>
  <c r="AE8" i="13"/>
  <c r="AN6" i="13"/>
  <c r="BY3" i="13"/>
  <c r="M5" i="13"/>
  <c r="CJ6" i="13"/>
  <c r="CR9" i="13"/>
  <c r="AX3" i="13"/>
  <c r="BJ3" i="13"/>
  <c r="AW5" i="13"/>
  <c r="BR5" i="13"/>
  <c r="BP6" i="13"/>
  <c r="BD2" i="13"/>
  <c r="CR4" i="13"/>
  <c r="BO4" i="13"/>
  <c r="AL6" i="13"/>
  <c r="J3" i="13"/>
  <c r="AD3" i="13"/>
  <c r="AM7" i="13"/>
  <c r="BZ3" i="13"/>
  <c r="BA2" i="13"/>
  <c r="AT4" i="13"/>
  <c r="S3" i="13"/>
  <c r="BL8" i="13"/>
  <c r="BF8" i="13"/>
  <c r="BU9" i="13"/>
  <c r="BM2" i="13"/>
  <c r="AW2" i="13"/>
  <c r="BZ1" i="13"/>
  <c r="BP2" i="13"/>
  <c r="BT6" i="13"/>
  <c r="CV5" i="13"/>
  <c r="M3" i="13"/>
  <c r="K8" i="13"/>
  <c r="G9" i="13"/>
  <c r="R4" i="13"/>
  <c r="AS9" i="13"/>
  <c r="BX6" i="13"/>
  <c r="BF1" i="13"/>
  <c r="B5" i="13"/>
  <c r="BJ5" i="13"/>
  <c r="CT3" i="13"/>
  <c r="AF7" i="13"/>
  <c r="BN5" i="13"/>
  <c r="AD4" i="13"/>
  <c r="L7" i="13"/>
  <c r="B2" i="13"/>
  <c r="AD1" i="13"/>
  <c r="BP1" i="13"/>
  <c r="AP4" i="13"/>
  <c r="CM2" i="13"/>
  <c r="BH5" i="13"/>
  <c r="AF5" i="13"/>
  <c r="AP1" i="13"/>
  <c r="CT7" i="13"/>
  <c r="H4" i="13"/>
  <c r="B6" i="13"/>
  <c r="K5" i="13"/>
  <c r="U5" i="13"/>
  <c r="X7" i="13"/>
  <c r="BI3" i="13"/>
  <c r="BX5" i="13"/>
  <c r="AJ2" i="13"/>
  <c r="X6" i="13"/>
  <c r="BS4" i="13"/>
  <c r="BD8" i="13"/>
  <c r="U2" i="13"/>
  <c r="AQ5" i="13"/>
  <c r="BV2" i="13"/>
  <c r="CL9" i="13"/>
  <c r="CK1" i="13"/>
  <c r="CU3" i="13"/>
  <c r="AX7" i="13"/>
  <c r="CA5" i="13"/>
  <c r="AM1" i="13"/>
  <c r="CF3" i="13"/>
  <c r="AZ3" i="13"/>
  <c r="AE7" i="13"/>
  <c r="BD6" i="13"/>
  <c r="BI1" i="13"/>
  <c r="BX2" i="13"/>
  <c r="BN9" i="13"/>
  <c r="L4" i="13"/>
  <c r="BL9" i="13"/>
  <c r="AE5" i="13"/>
  <c r="AJ1" i="13"/>
  <c r="BC4" i="13"/>
  <c r="B3" i="13"/>
  <c r="CB2" i="13"/>
  <c r="I3" i="13"/>
  <c r="BU7" i="13"/>
  <c r="O4" i="13"/>
  <c r="CU5" i="13"/>
  <c r="AQ9" i="13"/>
  <c r="J4" i="13"/>
  <c r="Q6" i="13"/>
  <c r="BX8" i="13"/>
  <c r="AM2" i="13"/>
  <c r="J2" i="7"/>
  <c r="W4" i="7"/>
  <c r="BN9" i="7"/>
  <c r="L1" i="7"/>
  <c r="BL6" i="7"/>
  <c r="AX3" i="7"/>
  <c r="BS3" i="7"/>
  <c r="BF8" i="7"/>
  <c r="E2" i="7"/>
  <c r="V6" i="7"/>
  <c r="H4" i="7"/>
  <c r="CI3" i="7"/>
  <c r="Z6" i="7"/>
  <c r="BT8" i="7"/>
  <c r="CT3" i="7"/>
  <c r="CQ1" i="7"/>
  <c r="CM3" i="7"/>
  <c r="AD6" i="7"/>
  <c r="BV8" i="7"/>
  <c r="CR3" i="7"/>
  <c r="Y2" i="7"/>
  <c r="Z5" i="7"/>
  <c r="R7" i="7"/>
  <c r="BV9" i="7"/>
  <c r="CR2" i="7"/>
  <c r="AZ1" i="7"/>
  <c r="AB5" i="7"/>
  <c r="Z7" i="7"/>
  <c r="CD9" i="7"/>
  <c r="BZ1" i="7"/>
  <c r="K2" i="7"/>
  <c r="BP7" i="7"/>
  <c r="AR9" i="7"/>
  <c r="F4" i="7"/>
  <c r="V2" i="7"/>
  <c r="BC1" i="7"/>
  <c r="BR7" i="7"/>
  <c r="AD9" i="7"/>
  <c r="T4" i="7"/>
  <c r="R2" i="7"/>
  <c r="BQ1" i="7"/>
  <c r="BW4" i="7"/>
  <c r="BX6" i="7"/>
  <c r="AJ8" i="7"/>
  <c r="N5" i="7"/>
  <c r="AL3" i="7"/>
  <c r="AE2" i="7"/>
  <c r="CU2" i="7"/>
  <c r="D6" i="7"/>
  <c r="L8" i="7"/>
  <c r="CL4" i="7"/>
  <c r="CT2" i="7"/>
  <c r="BW1" i="7"/>
  <c r="CG5" i="7"/>
  <c r="E9" i="7"/>
  <c r="BA9" i="7"/>
  <c r="BE7" i="7"/>
  <c r="CS9" i="7"/>
  <c r="CA9" i="7"/>
  <c r="BK5" i="7"/>
  <c r="AS9" i="7"/>
  <c r="BA7" i="7"/>
  <c r="AS5" i="7"/>
  <c r="AC6" i="7"/>
  <c r="AM7" i="7"/>
  <c r="CQ8" i="7"/>
  <c r="C7" i="7"/>
  <c r="BM4" i="7"/>
  <c r="CC3" i="7"/>
  <c r="M8" i="7"/>
  <c r="CK5" i="7"/>
  <c r="BP2" i="7"/>
  <c r="AA8" i="7"/>
  <c r="AI6" i="7"/>
  <c r="AC3" i="7"/>
  <c r="BC8" i="7"/>
  <c r="BK6" i="7"/>
  <c r="CG3" i="7"/>
  <c r="B14" i="6"/>
  <c r="E11" i="6"/>
  <c r="A19" i="6"/>
  <c r="E12" i="6"/>
  <c r="G18" i="6"/>
  <c r="G14" i="6"/>
  <c r="C12" i="6"/>
  <c r="D4" i="7"/>
  <c r="CH1" i="7"/>
  <c r="AK1" i="7"/>
  <c r="G5" i="7"/>
  <c r="CN6" i="7"/>
  <c r="BP8" i="7"/>
  <c r="CT4" i="7"/>
  <c r="V3" i="7"/>
  <c r="O2" i="7"/>
  <c r="AE3" i="7"/>
  <c r="AZ6" i="7"/>
  <c r="AR8" i="7"/>
  <c r="BV4" i="7"/>
  <c r="CD2" i="7"/>
  <c r="BG1" i="7"/>
  <c r="BA8" i="7"/>
  <c r="BY7" i="7"/>
  <c r="CK8" i="7"/>
  <c r="CO6" i="7"/>
  <c r="AG9" i="7"/>
  <c r="CE8" i="7"/>
  <c r="AE5" i="7"/>
  <c r="AC9" i="7"/>
  <c r="AK7" i="7"/>
  <c r="AC5" i="7"/>
  <c r="Q3" i="7"/>
  <c r="BW6" i="7"/>
  <c r="CA8" i="7"/>
  <c r="CI6" i="7"/>
  <c r="AG4" i="7"/>
  <c r="BU9" i="7"/>
  <c r="CC7" i="7"/>
  <c r="BU5" i="7"/>
  <c r="D2" i="7"/>
  <c r="K8" i="7"/>
  <c r="CI5" i="7"/>
  <c r="BH2" i="7"/>
  <c r="AM8" i="7"/>
  <c r="AU6" i="7"/>
  <c r="BA3" i="7"/>
  <c r="G17" i="6"/>
  <c r="A15" i="6"/>
  <c r="F12" i="6"/>
  <c r="B19" i="6"/>
  <c r="I16" i="6"/>
  <c r="H19" i="6"/>
  <c r="BZ9" i="7"/>
  <c r="BT3" i="7"/>
  <c r="BB1" i="7"/>
  <c r="U1" i="7"/>
  <c r="AV5" i="7"/>
  <c r="H7" i="7"/>
  <c r="CF8" i="7"/>
  <c r="BN4" i="7"/>
  <c r="F3" i="7"/>
  <c r="BO1" i="7"/>
  <c r="CQ3" i="7"/>
  <c r="BP6" i="7"/>
  <c r="BH8" i="7"/>
  <c r="BF4" i="7"/>
  <c r="CT1" i="7"/>
  <c r="AA1" i="7"/>
  <c r="CK7" i="7"/>
  <c r="M7" i="7"/>
  <c r="Y8" i="7"/>
  <c r="CJ1" i="7"/>
  <c r="E8" i="7"/>
  <c r="AY8" i="7"/>
  <c r="BU4" i="7"/>
  <c r="M9" i="7"/>
  <c r="CK6" i="7"/>
  <c r="BQ4" i="7"/>
  <c r="BT1" i="7"/>
  <c r="AQ6" i="7"/>
  <c r="BK8" i="7"/>
  <c r="AM6" i="7"/>
  <c r="BQ3" i="7"/>
  <c r="BE9" i="7"/>
  <c r="BM7" i="7"/>
  <c r="BE5" i="7"/>
  <c r="BS9" i="7"/>
  <c r="CA7" i="7"/>
  <c r="BS5" i="7"/>
  <c r="CR1" i="7"/>
  <c r="W8" i="7"/>
  <c r="CU5" i="7"/>
  <c r="CK2" i="7"/>
  <c r="H16" i="6"/>
  <c r="A18" i="6"/>
  <c r="Y5" i="7"/>
  <c r="BC9" i="7"/>
  <c r="BK7" i="7"/>
  <c r="BC5" i="7"/>
  <c r="CE9" i="7"/>
  <c r="CM7" i="7"/>
  <c r="CE5" i="7"/>
  <c r="AR2" i="7"/>
  <c r="D5" i="7"/>
  <c r="D1" i="7"/>
  <c r="AT6" i="7"/>
  <c r="L3" i="7"/>
  <c r="AY4" i="7"/>
  <c r="T9" i="7"/>
  <c r="O1" i="7"/>
  <c r="R6" i="7"/>
  <c r="L4" i="7"/>
  <c r="BW3" i="7"/>
  <c r="BJ8" i="7"/>
  <c r="CS1" i="7"/>
  <c r="AP5" i="7"/>
  <c r="AR7" i="7"/>
  <c r="CV9" i="7"/>
  <c r="F2" i="7"/>
  <c r="CV1" i="7"/>
  <c r="AR5" i="7"/>
  <c r="AT7" i="7"/>
  <c r="X5" i="7"/>
  <c r="BN2" i="7"/>
  <c r="BC3" i="7"/>
  <c r="J6" i="7"/>
  <c r="AT8" i="7"/>
  <c r="X4" i="7"/>
  <c r="BA2" i="7"/>
  <c r="BG3" i="7"/>
  <c r="N6" i="7"/>
  <c r="BB8" i="7"/>
  <c r="CF3" i="7"/>
  <c r="AU1" i="7"/>
  <c r="CJ6" i="7"/>
  <c r="BL8" i="7"/>
  <c r="B5" i="7"/>
  <c r="Z3" i="7"/>
  <c r="AI2" i="7"/>
  <c r="BV6" i="7"/>
  <c r="AX8" i="7"/>
  <c r="CV4" i="7"/>
  <c r="AN3" i="7"/>
  <c r="AW2" i="7"/>
  <c r="O3" i="7"/>
  <c r="CB5" i="7"/>
  <c r="BD7" i="7"/>
  <c r="AF9" i="7"/>
  <c r="AH4" i="7"/>
  <c r="AT2" i="7"/>
  <c r="AI1" i="7"/>
  <c r="W5" i="7"/>
  <c r="P7" i="7"/>
  <c r="X9" i="7"/>
  <c r="J4" i="7"/>
  <c r="AH1" i="7"/>
  <c r="I1" i="7"/>
  <c r="BQ5" i="7"/>
  <c r="BM9" i="7"/>
  <c r="AG6" i="7"/>
  <c r="BU8" i="7"/>
  <c r="U4" i="7"/>
  <c r="BC7" i="7"/>
  <c r="AS3" i="7"/>
  <c r="BM8" i="7"/>
  <c r="BE6" i="7"/>
  <c r="AO3" i="7"/>
  <c r="AE9" i="7"/>
  <c r="AB2" i="7"/>
  <c r="O8" i="7"/>
  <c r="G6" i="7"/>
  <c r="L2" i="7"/>
  <c r="I9" i="7"/>
  <c r="A7" i="7"/>
  <c r="CO4" i="7"/>
  <c r="AM9" i="7"/>
  <c r="O7" i="7"/>
  <c r="U5" i="7"/>
  <c r="BO9" i="7"/>
  <c r="BW7" i="7"/>
  <c r="BO5" i="7"/>
  <c r="CC5" i="7"/>
  <c r="E19" i="6"/>
  <c r="C15" i="6"/>
  <c r="G19" i="6"/>
  <c r="C14" i="6"/>
  <c r="I14" i="6"/>
  <c r="G12" i="6"/>
  <c r="CJ2" i="7"/>
  <c r="CH2" i="7"/>
  <c r="BD6" i="7"/>
  <c r="CF7" i="7"/>
  <c r="L9" i="7"/>
  <c r="CH4" i="7"/>
  <c r="BF3" i="7"/>
  <c r="CL1" i="7"/>
  <c r="CI1" i="7"/>
  <c r="CL6" i="7"/>
  <c r="R8" i="7"/>
  <c r="AT9" i="7"/>
  <c r="AZ4" i="7"/>
  <c r="X3" i="7"/>
  <c r="V1" i="7"/>
  <c r="BA1" i="7"/>
  <c r="K4" i="7"/>
  <c r="CR5" i="7"/>
  <c r="X7" i="7"/>
  <c r="AZ8" i="7"/>
  <c r="CB9" i="7"/>
  <c r="R4" i="7"/>
  <c r="CL2" i="7"/>
  <c r="AU2" i="7"/>
  <c r="S1" i="7"/>
  <c r="BK3" i="7"/>
  <c r="BT5" i="7"/>
  <c r="CV6" i="7"/>
  <c r="AB8" i="7"/>
  <c r="BD9" i="7"/>
  <c r="AP4" i="7"/>
  <c r="N3" i="7"/>
  <c r="B1" i="7"/>
  <c r="AQ1" i="7"/>
  <c r="AC7" i="7"/>
  <c r="BI6" i="7"/>
  <c r="AO8" i="7"/>
  <c r="AK8" i="7"/>
  <c r="BI7" i="7"/>
  <c r="U8" i="7"/>
  <c r="I8" i="7"/>
  <c r="BQ8" i="7"/>
  <c r="CG2" i="7"/>
  <c r="CI7" i="7"/>
  <c r="AU5" i="7"/>
  <c r="CC2" i="7"/>
  <c r="CS8" i="7"/>
  <c r="BQ7" i="7"/>
  <c r="AO6" i="7"/>
  <c r="A5" i="7"/>
  <c r="T2" i="7"/>
  <c r="BK9" i="7"/>
  <c r="G7" i="7"/>
  <c r="BW9" i="7"/>
  <c r="AU8" i="7"/>
  <c r="S7" i="7"/>
  <c r="CM5" i="7"/>
  <c r="A4" i="7"/>
  <c r="AW5" i="7"/>
  <c r="Y9" i="7"/>
  <c r="CS7" i="7"/>
  <c r="BQ6" i="7"/>
  <c r="AO5" i="7"/>
  <c r="A3" i="7"/>
  <c r="W9" i="7"/>
  <c r="CQ7" i="7"/>
  <c r="BO6" i="7"/>
  <c r="AM5" i="7"/>
  <c r="CS2" i="7"/>
  <c r="AI9" i="7"/>
  <c r="G8" i="7"/>
  <c r="CA6" i="7"/>
  <c r="AY5" i="7"/>
  <c r="U3" i="7"/>
  <c r="G15" i="6"/>
  <c r="D12" i="6"/>
  <c r="C13" i="6"/>
  <c r="H18" i="6"/>
  <c r="B16" i="6"/>
  <c r="F19" i="6"/>
  <c r="I18" i="6"/>
  <c r="B15" i="6"/>
  <c r="C18" i="6"/>
  <c r="E14" i="6"/>
  <c r="A11" i="6"/>
  <c r="N2" i="7"/>
  <c r="CU1" i="7"/>
  <c r="AG1" i="7"/>
  <c r="BG4" i="7"/>
  <c r="T6" i="7"/>
  <c r="AV7" i="7"/>
  <c r="BX8" i="7"/>
  <c r="V5" i="7"/>
  <c r="CP3" i="7"/>
  <c r="BJ2" i="7"/>
  <c r="W2" i="7"/>
  <c r="AO1" i="7"/>
  <c r="CC9" i="7"/>
  <c r="CG9" i="7"/>
  <c r="AW6" i="7"/>
  <c r="CO2" i="7"/>
  <c r="Q5" i="7"/>
  <c r="Q6" i="7"/>
  <c r="A6" i="7"/>
  <c r="BY6" i="7"/>
  <c r="AU9" i="7"/>
  <c r="CM6" i="7"/>
  <c r="AO4" i="7"/>
  <c r="BY9" i="7"/>
  <c r="AW8" i="7"/>
  <c r="U7" i="7"/>
  <c r="CO5" i="7"/>
  <c r="E4" i="7"/>
  <c r="BM5" i="7"/>
  <c r="BO8" i="7"/>
  <c r="K6" i="7"/>
  <c r="AA9" i="7"/>
  <c r="CU7" i="7"/>
  <c r="BS6" i="7"/>
  <c r="AQ5" i="7"/>
  <c r="E3" i="7"/>
  <c r="AJ2" i="7"/>
  <c r="BY8" i="7"/>
  <c r="AW7" i="7"/>
  <c r="U6" i="7"/>
  <c r="BI4" i="7"/>
  <c r="AN1" i="7"/>
  <c r="BW8" i="7"/>
  <c r="AU7" i="7"/>
  <c r="S6" i="7"/>
  <c r="BE4" i="7"/>
  <c r="AF1" i="7"/>
  <c r="CI8" i="7"/>
  <c r="BG7" i="7"/>
  <c r="AE6" i="7"/>
  <c r="CC4" i="7"/>
  <c r="CB1" i="7"/>
  <c r="I15" i="6"/>
  <c r="A13" i="6"/>
  <c r="F18" i="6"/>
  <c r="E15" i="6"/>
  <c r="H12" i="6"/>
  <c r="D17" i="6"/>
  <c r="F13" i="6"/>
  <c r="E18" i="6"/>
  <c r="I12" i="6"/>
  <c r="D19" i="6"/>
  <c r="P4" i="7"/>
  <c r="AS2" i="7"/>
  <c r="AQ2" i="7"/>
  <c r="T7" i="7"/>
  <c r="AV8" i="7"/>
  <c r="BX9" i="7"/>
  <c r="V4" i="7"/>
  <c r="CP2" i="7"/>
  <c r="AY2" i="7"/>
  <c r="W1" i="7"/>
  <c r="BB7" i="7"/>
  <c r="CD8" i="7"/>
  <c r="P5" i="7"/>
  <c r="CJ3" i="7"/>
  <c r="AX2" i="7"/>
  <c r="Q2" i="7"/>
  <c r="CE2" i="7"/>
  <c r="AF5" i="7"/>
  <c r="BH6" i="7"/>
  <c r="CJ7" i="7"/>
  <c r="P9" i="7"/>
  <c r="CD4" i="7"/>
  <c r="BB3" i="7"/>
  <c r="CD1" i="7"/>
  <c r="CE1" i="7"/>
  <c r="Q1" i="7"/>
  <c r="CM4" i="7"/>
  <c r="AJ6" i="7"/>
  <c r="BL7" i="7"/>
  <c r="CN8" i="7"/>
  <c r="F5" i="7"/>
  <c r="BZ3" i="7"/>
  <c r="AD2" i="7"/>
  <c r="G2" i="7"/>
  <c r="Y1" i="7"/>
  <c r="Q9" i="7"/>
  <c r="BE8" i="7"/>
  <c r="BA5" i="7"/>
  <c r="AS6" i="7"/>
  <c r="AZ2" i="7"/>
  <c r="CG4" i="7"/>
  <c r="BA4" i="7"/>
  <c r="CS5" i="7"/>
  <c r="O9" i="7"/>
  <c r="BG6" i="7"/>
  <c r="I4" i="7"/>
  <c r="BI9" i="7"/>
  <c r="AG8" i="7"/>
  <c r="E7" i="7"/>
  <c r="BY5" i="7"/>
  <c r="BU3" i="7"/>
  <c r="AS4" i="7"/>
  <c r="AI8" i="7"/>
  <c r="CA5" i="7"/>
  <c r="K9" i="7"/>
  <c r="CE7" i="7"/>
  <c r="BC6" i="7"/>
  <c r="AA5" i="7"/>
  <c r="BU2" i="7"/>
  <c r="CK9" i="7"/>
  <c r="BI8" i="7"/>
  <c r="AG7" i="7"/>
  <c r="E6" i="7"/>
  <c r="AC4" i="7"/>
  <c r="CI9" i="7"/>
  <c r="BG8" i="7"/>
  <c r="AE7" i="7"/>
  <c r="C6" i="7"/>
  <c r="Y4" i="7"/>
  <c r="CU9" i="7"/>
  <c r="BS8" i="7"/>
  <c r="AQ7" i="7"/>
  <c r="O6" i="7"/>
  <c r="AW4" i="7"/>
  <c r="E17" i="6"/>
  <c r="H14" i="6"/>
  <c r="G11" i="6"/>
  <c r="C17" i="6"/>
  <c r="F14" i="6"/>
  <c r="F15" i="6"/>
  <c r="H11" i="6"/>
  <c r="G16" i="6"/>
  <c r="B11" i="6"/>
  <c r="A1" i="14" l="1" a="1"/>
  <c r="A6" i="14" s="1"/>
  <c r="A1" i="8" a="1"/>
  <c r="A1" i="8" s="1"/>
  <c r="A3" i="14" l="1"/>
  <c r="A4" i="14"/>
  <c r="A9" i="14"/>
  <c r="A7" i="14"/>
  <c r="A8" i="14"/>
  <c r="A2" i="14"/>
  <c r="A5" i="14"/>
  <c r="A1" i="14"/>
  <c r="A5" i="8"/>
  <c r="A7" i="8"/>
  <c r="A9" i="8"/>
  <c r="A8" i="8"/>
  <c r="A6" i="8"/>
  <c r="A4" i="8"/>
  <c r="A2" i="8"/>
  <c r="A3" i="8"/>
</calcChain>
</file>

<file path=xl/sharedStrings.xml><?xml version="1.0" encoding="utf-8"?>
<sst xmlns="http://schemas.openxmlformats.org/spreadsheetml/2006/main" count="28" uniqueCount="26">
  <si>
    <t>x</t>
  </si>
  <si>
    <t>sin(x)</t>
    <phoneticPr fontId="1"/>
  </si>
  <si>
    <t>x^2</t>
    <phoneticPr fontId="1"/>
  </si>
  <si>
    <t>x^3</t>
    <phoneticPr fontId="1"/>
  </si>
  <si>
    <t>x^4</t>
    <phoneticPr fontId="1"/>
  </si>
  <si>
    <t>x^5</t>
    <phoneticPr fontId="1"/>
  </si>
  <si>
    <t>x^6</t>
    <phoneticPr fontId="1"/>
  </si>
  <si>
    <t>x^7</t>
    <phoneticPr fontId="1"/>
  </si>
  <si>
    <t>x^8</t>
    <phoneticPr fontId="1"/>
  </si>
  <si>
    <t>x^1</t>
    <phoneticPr fontId="1"/>
  </si>
  <si>
    <t>x^0</t>
    <phoneticPr fontId="1"/>
  </si>
  <si>
    <t>t</t>
    <phoneticPr fontId="1"/>
  </si>
  <si>
    <t>x</t>
    <phoneticPr fontId="1"/>
  </si>
  <si>
    <t>t</t>
    <phoneticPr fontId="1"/>
  </si>
  <si>
    <t>y</t>
    <phoneticPr fontId="1"/>
  </si>
  <si>
    <t>y_regular</t>
    <phoneticPr fontId="1"/>
  </si>
  <si>
    <t>w0</t>
    <phoneticPr fontId="1"/>
  </si>
  <si>
    <t>w1</t>
  </si>
  <si>
    <t>w2</t>
  </si>
  <si>
    <t>w3</t>
  </si>
  <si>
    <t>w4</t>
  </si>
  <si>
    <t>w5</t>
  </si>
  <si>
    <t>w6</t>
  </si>
  <si>
    <t>w7</t>
  </si>
  <si>
    <t>w8</t>
  </si>
  <si>
    <t>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</si>
</sst>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data!$A$2:$A$101</c:f>
              <c:numCache>
                <c:formatCode>General</c:formatCode>
                <c:ptCount val="100"/>
                <c:pt idx="0">
                  <c:v>1.7644107341766357E-2</c:v>
                </c:pt>
                <c:pt idx="1">
                  <c:v>2.3567497730255127E-2</c:v>
                </c:pt>
                <c:pt idx="2">
                  <c:v>2.4107873439788818E-2</c:v>
                </c:pt>
                <c:pt idx="3">
                  <c:v>5.3646385669708252E-2</c:v>
                </c:pt>
                <c:pt idx="4">
                  <c:v>5.5556595325469971E-2</c:v>
                </c:pt>
                <c:pt idx="5">
                  <c:v>6.5468847751617432E-2</c:v>
                </c:pt>
                <c:pt idx="6">
                  <c:v>7.1085751056671143E-2</c:v>
                </c:pt>
                <c:pt idx="7">
                  <c:v>7.7021777629852295E-2</c:v>
                </c:pt>
                <c:pt idx="8">
                  <c:v>8.3163440227508545E-2</c:v>
                </c:pt>
                <c:pt idx="9">
                  <c:v>0.11446493864059448</c:v>
                </c:pt>
                <c:pt idx="10">
                  <c:v>0.12163835763931274</c:v>
                </c:pt>
                <c:pt idx="11">
                  <c:v>0.14504307508468628</c:v>
                </c:pt>
                <c:pt idx="12">
                  <c:v>0.15510958433151245</c:v>
                </c:pt>
                <c:pt idx="13">
                  <c:v>0.1586335301399231</c:v>
                </c:pt>
                <c:pt idx="14">
                  <c:v>0.16517812013626099</c:v>
                </c:pt>
                <c:pt idx="15">
                  <c:v>0.17063933610916138</c:v>
                </c:pt>
                <c:pt idx="16">
                  <c:v>0.17151635885238647</c:v>
                </c:pt>
                <c:pt idx="17">
                  <c:v>0.17319387197494507</c:v>
                </c:pt>
                <c:pt idx="18">
                  <c:v>0.17387574911117554</c:v>
                </c:pt>
                <c:pt idx="19">
                  <c:v>0.17957693338394165</c:v>
                </c:pt>
                <c:pt idx="20">
                  <c:v>0.1816677451133728</c:v>
                </c:pt>
                <c:pt idx="21">
                  <c:v>0.18621045351028442</c:v>
                </c:pt>
                <c:pt idx="22">
                  <c:v>0.19191259145736694</c:v>
                </c:pt>
                <c:pt idx="23">
                  <c:v>0.2059064507484436</c:v>
                </c:pt>
                <c:pt idx="24">
                  <c:v>0.20945066213607788</c:v>
                </c:pt>
                <c:pt idx="25">
                  <c:v>0.22782808542251587</c:v>
                </c:pt>
                <c:pt idx="26">
                  <c:v>0.22804182767868042</c:v>
                </c:pt>
                <c:pt idx="27">
                  <c:v>0.2389792799949646</c:v>
                </c:pt>
                <c:pt idx="28">
                  <c:v>0.24754840135574341</c:v>
                </c:pt>
                <c:pt idx="29">
                  <c:v>0.24772590398788452</c:v>
                </c:pt>
                <c:pt idx="30">
                  <c:v>0.25755351781845093</c:v>
                </c:pt>
                <c:pt idx="31">
                  <c:v>0.26688545942306519</c:v>
                </c:pt>
                <c:pt idx="32">
                  <c:v>0.27735358476638794</c:v>
                </c:pt>
                <c:pt idx="33">
                  <c:v>0.28188914060592651</c:v>
                </c:pt>
                <c:pt idx="34">
                  <c:v>0.28612452745437622</c:v>
                </c:pt>
                <c:pt idx="35">
                  <c:v>0.2961077094078064</c:v>
                </c:pt>
                <c:pt idx="36">
                  <c:v>0.29763609170913696</c:v>
                </c:pt>
                <c:pt idx="37">
                  <c:v>0.29863458871841431</c:v>
                </c:pt>
                <c:pt idx="38">
                  <c:v>0.30439835786819458</c:v>
                </c:pt>
                <c:pt idx="39">
                  <c:v>0.32076317071914673</c:v>
                </c:pt>
                <c:pt idx="40">
                  <c:v>0.32565110921859741</c:v>
                </c:pt>
                <c:pt idx="41">
                  <c:v>0.33718246221542358</c:v>
                </c:pt>
                <c:pt idx="42">
                  <c:v>0.36816853284835815</c:v>
                </c:pt>
                <c:pt idx="43">
                  <c:v>0.37443023920059204</c:v>
                </c:pt>
                <c:pt idx="44">
                  <c:v>0.3769952654838562</c:v>
                </c:pt>
                <c:pt idx="45">
                  <c:v>0.37964028120040894</c:v>
                </c:pt>
                <c:pt idx="46">
                  <c:v>0.38630634546279907</c:v>
                </c:pt>
                <c:pt idx="47">
                  <c:v>0.38914555311203003</c:v>
                </c:pt>
                <c:pt idx="48">
                  <c:v>0.39173275232315063</c:v>
                </c:pt>
                <c:pt idx="49">
                  <c:v>0.40748041868209839</c:v>
                </c:pt>
                <c:pt idx="50">
                  <c:v>0.41315895318984985</c:v>
                </c:pt>
                <c:pt idx="51">
                  <c:v>0.41557079553604126</c:v>
                </c:pt>
                <c:pt idx="52">
                  <c:v>0.42467325925827026</c:v>
                </c:pt>
                <c:pt idx="53">
                  <c:v>0.43931180238723755</c:v>
                </c:pt>
                <c:pt idx="54">
                  <c:v>0.44069105386734009</c:v>
                </c:pt>
                <c:pt idx="55">
                  <c:v>0.45374935865402222</c:v>
                </c:pt>
                <c:pt idx="56">
                  <c:v>0.46926742792129517</c:v>
                </c:pt>
                <c:pt idx="57">
                  <c:v>0.47840303182601929</c:v>
                </c:pt>
                <c:pt idx="58">
                  <c:v>0.48205059766769409</c:v>
                </c:pt>
                <c:pt idx="59">
                  <c:v>0.4887731671333313</c:v>
                </c:pt>
                <c:pt idx="60">
                  <c:v>0.50103539228439331</c:v>
                </c:pt>
                <c:pt idx="61">
                  <c:v>0.52555698156356812</c:v>
                </c:pt>
                <c:pt idx="62">
                  <c:v>0.53212743997573853</c:v>
                </c:pt>
                <c:pt idx="63">
                  <c:v>0.54058939218521118</c:v>
                </c:pt>
                <c:pt idx="64">
                  <c:v>0.5809670090675354</c:v>
                </c:pt>
                <c:pt idx="65">
                  <c:v>0.58969837427139282</c:v>
                </c:pt>
                <c:pt idx="66">
                  <c:v>0.61758571863174438</c:v>
                </c:pt>
                <c:pt idx="67">
                  <c:v>0.62008136510848999</c:v>
                </c:pt>
                <c:pt idx="68">
                  <c:v>0.62144607305526733</c:v>
                </c:pt>
                <c:pt idx="69">
                  <c:v>0.6245463490486145</c:v>
                </c:pt>
                <c:pt idx="70">
                  <c:v>0.63275164365768433</c:v>
                </c:pt>
                <c:pt idx="71">
                  <c:v>0.64308708906173706</c:v>
                </c:pt>
                <c:pt idx="72">
                  <c:v>0.64815360307693481</c:v>
                </c:pt>
                <c:pt idx="73">
                  <c:v>0.64856415987014771</c:v>
                </c:pt>
                <c:pt idx="74">
                  <c:v>0.65548282861709595</c:v>
                </c:pt>
                <c:pt idx="75">
                  <c:v>0.65580981969833374</c:v>
                </c:pt>
                <c:pt idx="76">
                  <c:v>0.66486150026321411</c:v>
                </c:pt>
                <c:pt idx="77">
                  <c:v>0.68320339918136597</c:v>
                </c:pt>
                <c:pt idx="78">
                  <c:v>0.69225198030471802</c:v>
                </c:pt>
                <c:pt idx="79">
                  <c:v>0.69308358430862427</c:v>
                </c:pt>
                <c:pt idx="80">
                  <c:v>0.72963422536849976</c:v>
                </c:pt>
                <c:pt idx="81">
                  <c:v>0.73003000020980835</c:v>
                </c:pt>
                <c:pt idx="82">
                  <c:v>0.73086768388748169</c:v>
                </c:pt>
                <c:pt idx="83">
                  <c:v>0.74066585302352905</c:v>
                </c:pt>
                <c:pt idx="84">
                  <c:v>0.74683231115341187</c:v>
                </c:pt>
                <c:pt idx="85">
                  <c:v>0.76620227098464966</c:v>
                </c:pt>
                <c:pt idx="86">
                  <c:v>0.80716830492019653</c:v>
                </c:pt>
                <c:pt idx="87">
                  <c:v>0.84615880250930786</c:v>
                </c:pt>
                <c:pt idx="88">
                  <c:v>0.85963970422744751</c:v>
                </c:pt>
                <c:pt idx="89">
                  <c:v>0.86089402437210083</c:v>
                </c:pt>
                <c:pt idx="90">
                  <c:v>0.86945098638534546</c:v>
                </c:pt>
                <c:pt idx="91">
                  <c:v>0.87774366140365601</c:v>
                </c:pt>
                <c:pt idx="92">
                  <c:v>0.90503507852554321</c:v>
                </c:pt>
                <c:pt idx="93">
                  <c:v>0.91664367914199829</c:v>
                </c:pt>
                <c:pt idx="94">
                  <c:v>0.919444739818573</c:v>
                </c:pt>
                <c:pt idx="95">
                  <c:v>0.93921607732772827</c:v>
                </c:pt>
                <c:pt idx="96">
                  <c:v>0.95681732892990112</c:v>
                </c:pt>
                <c:pt idx="97">
                  <c:v>0.96780687570571899</c:v>
                </c:pt>
                <c:pt idx="98">
                  <c:v>0.97954148054122925</c:v>
                </c:pt>
                <c:pt idx="99">
                  <c:v>0.99992483854293823</c:v>
                </c:pt>
              </c:numCache>
            </c:numRef>
          </c:xVal>
          <c:yVal>
            <c:numRef>
              <c:f>data!$B$2:$B$101</c:f>
              <c:numCache>
                <c:formatCode>General</c:formatCode>
                <c:ptCount val="100"/>
                <c:pt idx="0">
                  <c:v>0.59528691481552964</c:v>
                </c:pt>
                <c:pt idx="1">
                  <c:v>4.3967298418503081E-2</c:v>
                </c:pt>
                <c:pt idx="2">
                  <c:v>0.21219341531671421</c:v>
                </c:pt>
                <c:pt idx="3">
                  <c:v>-4.9537925017855831E-2</c:v>
                </c:pt>
                <c:pt idx="4">
                  <c:v>0.76631029713929577</c:v>
                </c:pt>
                <c:pt idx="5">
                  <c:v>0.45033421912050808</c:v>
                </c:pt>
                <c:pt idx="6">
                  <c:v>1.2926743074872193</c:v>
                </c:pt>
                <c:pt idx="7">
                  <c:v>0.17042416343155367</c:v>
                </c:pt>
                <c:pt idx="8">
                  <c:v>0.62775754033050613</c:v>
                </c:pt>
                <c:pt idx="9">
                  <c:v>0.45331912728091983</c:v>
                </c:pt>
                <c:pt idx="10">
                  <c:v>1.0366417896528877</c:v>
                </c:pt>
                <c:pt idx="11">
                  <c:v>0.90200350595068224</c:v>
                </c:pt>
                <c:pt idx="12">
                  <c:v>0.99387319214516534</c:v>
                </c:pt>
                <c:pt idx="13">
                  <c:v>0.44132028306279231</c:v>
                </c:pt>
                <c:pt idx="14">
                  <c:v>0.70661965337355293</c:v>
                </c:pt>
                <c:pt idx="15">
                  <c:v>1.0688927946295566</c:v>
                </c:pt>
                <c:pt idx="16">
                  <c:v>0.89899678103108926</c:v>
                </c:pt>
                <c:pt idx="17">
                  <c:v>1.4046375641633277</c:v>
                </c:pt>
                <c:pt idx="18">
                  <c:v>1.1071163304359126</c:v>
                </c:pt>
                <c:pt idx="19">
                  <c:v>0.19848168007841643</c:v>
                </c:pt>
                <c:pt idx="20">
                  <c:v>0.76501440748624039</c:v>
                </c:pt>
                <c:pt idx="21">
                  <c:v>0.70200852091945798</c:v>
                </c:pt>
                <c:pt idx="22">
                  <c:v>0.88590355492188921</c:v>
                </c:pt>
                <c:pt idx="23">
                  <c:v>1.1837444089046834</c:v>
                </c:pt>
                <c:pt idx="24">
                  <c:v>1.0455462870895715</c:v>
                </c:pt>
                <c:pt idx="25">
                  <c:v>0.76632323691698923</c:v>
                </c:pt>
                <c:pt idx="26">
                  <c:v>1.853283140507008</c:v>
                </c:pt>
                <c:pt idx="27">
                  <c:v>1.6989402328505292</c:v>
                </c:pt>
                <c:pt idx="28">
                  <c:v>0.84356198080524825</c:v>
                </c:pt>
                <c:pt idx="29">
                  <c:v>1.0390325025429508</c:v>
                </c:pt>
                <c:pt idx="30">
                  <c:v>0.8986608277805469</c:v>
                </c:pt>
                <c:pt idx="31">
                  <c:v>0.4559896906960495</c:v>
                </c:pt>
                <c:pt idx="32">
                  <c:v>0.60311125969990342</c:v>
                </c:pt>
                <c:pt idx="33">
                  <c:v>0.86249683871679494</c:v>
                </c:pt>
                <c:pt idx="34">
                  <c:v>0.86309031426540761</c:v>
                </c:pt>
                <c:pt idx="35">
                  <c:v>0.83012613590041251</c:v>
                </c:pt>
                <c:pt idx="36">
                  <c:v>0.93909182361796695</c:v>
                </c:pt>
                <c:pt idx="37">
                  <c:v>1.0038756320356288</c:v>
                </c:pt>
                <c:pt idx="38">
                  <c:v>1.1128511693343162</c:v>
                </c:pt>
                <c:pt idx="39">
                  <c:v>0.21007425002859909</c:v>
                </c:pt>
                <c:pt idx="40">
                  <c:v>0.39514330437969963</c:v>
                </c:pt>
                <c:pt idx="41">
                  <c:v>1.013619160398062</c:v>
                </c:pt>
                <c:pt idx="42">
                  <c:v>1.1663272191948033</c:v>
                </c:pt>
                <c:pt idx="43">
                  <c:v>0.96942548002368056</c:v>
                </c:pt>
                <c:pt idx="44">
                  <c:v>0.14037988527490119</c:v>
                </c:pt>
                <c:pt idx="45">
                  <c:v>0.14197633079024671</c:v>
                </c:pt>
                <c:pt idx="46">
                  <c:v>0.6632701071867334</c:v>
                </c:pt>
                <c:pt idx="47">
                  <c:v>0.86710907273217852</c:v>
                </c:pt>
                <c:pt idx="48">
                  <c:v>6.6232718589162839E-2</c:v>
                </c:pt>
                <c:pt idx="49">
                  <c:v>-0.10622271179898141</c:v>
                </c:pt>
                <c:pt idx="50">
                  <c:v>0.45883254635210413</c:v>
                </c:pt>
                <c:pt idx="51">
                  <c:v>0.21155572943368403</c:v>
                </c:pt>
                <c:pt idx="52">
                  <c:v>-0.23507672548633132</c:v>
                </c:pt>
                <c:pt idx="53">
                  <c:v>0.66928721660925095</c:v>
                </c:pt>
                <c:pt idx="54">
                  <c:v>0.47083167639409373</c:v>
                </c:pt>
                <c:pt idx="55">
                  <c:v>0.30440399908359633</c:v>
                </c:pt>
                <c:pt idx="56">
                  <c:v>0.32809588146886071</c:v>
                </c:pt>
                <c:pt idx="57">
                  <c:v>0.14092573746956802</c:v>
                </c:pt>
                <c:pt idx="58">
                  <c:v>0.52863929249588615</c:v>
                </c:pt>
                <c:pt idx="59">
                  <c:v>-0.35054200841555005</c:v>
                </c:pt>
                <c:pt idx="60">
                  <c:v>0.22513279050305338</c:v>
                </c:pt>
                <c:pt idx="61">
                  <c:v>-0.2858970933048276</c:v>
                </c:pt>
                <c:pt idx="62">
                  <c:v>0.39136137184352421</c:v>
                </c:pt>
                <c:pt idx="63">
                  <c:v>-0.22890654960665305</c:v>
                </c:pt>
                <c:pt idx="64">
                  <c:v>-0.238042440361215</c:v>
                </c:pt>
                <c:pt idx="65">
                  <c:v>-1.2066452615817336</c:v>
                </c:pt>
                <c:pt idx="66">
                  <c:v>-0.62253446049114392</c:v>
                </c:pt>
                <c:pt idx="67">
                  <c:v>-0.86834965689730215</c:v>
                </c:pt>
                <c:pt idx="68">
                  <c:v>-0.4040845941861903</c:v>
                </c:pt>
                <c:pt idx="69">
                  <c:v>-1.0640484736930034</c:v>
                </c:pt>
                <c:pt idx="70">
                  <c:v>-0.44338365745843777</c:v>
                </c:pt>
                <c:pt idx="71">
                  <c:v>-0.65155691385647263</c:v>
                </c:pt>
                <c:pt idx="72">
                  <c:v>-0.59924505772965631</c:v>
                </c:pt>
                <c:pt idx="73">
                  <c:v>-1.2716822115522386</c:v>
                </c:pt>
                <c:pt idx="74">
                  <c:v>-1.0681203019476793</c:v>
                </c:pt>
                <c:pt idx="75">
                  <c:v>-0.64617507216163506</c:v>
                </c:pt>
                <c:pt idx="76">
                  <c:v>-0.77060799484561748</c:v>
                </c:pt>
                <c:pt idx="77">
                  <c:v>-0.74231706250742191</c:v>
                </c:pt>
                <c:pt idx="78">
                  <c:v>-1.3807250028078357</c:v>
                </c:pt>
                <c:pt idx="79">
                  <c:v>-1.4346978804496853</c:v>
                </c:pt>
                <c:pt idx="80">
                  <c:v>-1.4577389571340587</c:v>
                </c:pt>
                <c:pt idx="81">
                  <c:v>-1.3316333431572482</c:v>
                </c:pt>
                <c:pt idx="82">
                  <c:v>-1.5479384560365601</c:v>
                </c:pt>
                <c:pt idx="83">
                  <c:v>-1.3054291261837663</c:v>
                </c:pt>
                <c:pt idx="84">
                  <c:v>-1.3759940400323132</c:v>
                </c:pt>
                <c:pt idx="85">
                  <c:v>-1.8284761810136789</c:v>
                </c:pt>
                <c:pt idx="86">
                  <c:v>-0.62405622379663317</c:v>
                </c:pt>
                <c:pt idx="87">
                  <c:v>-0.75419268254287752</c:v>
                </c:pt>
                <c:pt idx="88">
                  <c:v>-0.50187560120111252</c:v>
                </c:pt>
                <c:pt idx="89">
                  <c:v>-6.8223110975249761E-4</c:v>
                </c:pt>
                <c:pt idx="90">
                  <c:v>-0.69213151618817914</c:v>
                </c:pt>
                <c:pt idx="91">
                  <c:v>-0.72815243103177785</c:v>
                </c:pt>
                <c:pt idx="92">
                  <c:v>-0.27555299290814012</c:v>
                </c:pt>
                <c:pt idx="93">
                  <c:v>-0.53334297956361443</c:v>
                </c:pt>
                <c:pt idx="94">
                  <c:v>-0.47635345908310561</c:v>
                </c:pt>
                <c:pt idx="95">
                  <c:v>-0.44790218663939424</c:v>
                </c:pt>
                <c:pt idx="96">
                  <c:v>-0.56573119227961466</c:v>
                </c:pt>
                <c:pt idx="97">
                  <c:v>0.24700929368426855</c:v>
                </c:pt>
                <c:pt idx="98">
                  <c:v>0.83913724267619472</c:v>
                </c:pt>
                <c:pt idx="99">
                  <c:v>-0.29168132540090769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sin(x)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/>
          </c:spPr>
          <c:marker>
            <c:symbol val="none"/>
          </c:marker>
          <c:xVal>
            <c:numRef>
              <c:f>data!$A$2:$A$101</c:f>
              <c:numCache>
                <c:formatCode>General</c:formatCode>
                <c:ptCount val="100"/>
                <c:pt idx="0">
                  <c:v>1.7644107341766357E-2</c:v>
                </c:pt>
                <c:pt idx="1">
                  <c:v>2.3567497730255127E-2</c:v>
                </c:pt>
                <c:pt idx="2">
                  <c:v>2.4107873439788818E-2</c:v>
                </c:pt>
                <c:pt idx="3">
                  <c:v>5.3646385669708252E-2</c:v>
                </c:pt>
                <c:pt idx="4">
                  <c:v>5.5556595325469971E-2</c:v>
                </c:pt>
                <c:pt idx="5">
                  <c:v>6.5468847751617432E-2</c:v>
                </c:pt>
                <c:pt idx="6">
                  <c:v>7.1085751056671143E-2</c:v>
                </c:pt>
                <c:pt idx="7">
                  <c:v>7.7021777629852295E-2</c:v>
                </c:pt>
                <c:pt idx="8">
                  <c:v>8.3163440227508545E-2</c:v>
                </c:pt>
                <c:pt idx="9">
                  <c:v>0.11446493864059448</c:v>
                </c:pt>
                <c:pt idx="10">
                  <c:v>0.12163835763931274</c:v>
                </c:pt>
                <c:pt idx="11">
                  <c:v>0.14504307508468628</c:v>
                </c:pt>
                <c:pt idx="12">
                  <c:v>0.15510958433151245</c:v>
                </c:pt>
                <c:pt idx="13">
                  <c:v>0.1586335301399231</c:v>
                </c:pt>
                <c:pt idx="14">
                  <c:v>0.16517812013626099</c:v>
                </c:pt>
                <c:pt idx="15">
                  <c:v>0.17063933610916138</c:v>
                </c:pt>
                <c:pt idx="16">
                  <c:v>0.17151635885238647</c:v>
                </c:pt>
                <c:pt idx="17">
                  <c:v>0.17319387197494507</c:v>
                </c:pt>
                <c:pt idx="18">
                  <c:v>0.17387574911117554</c:v>
                </c:pt>
                <c:pt idx="19">
                  <c:v>0.17957693338394165</c:v>
                </c:pt>
                <c:pt idx="20">
                  <c:v>0.1816677451133728</c:v>
                </c:pt>
                <c:pt idx="21">
                  <c:v>0.18621045351028442</c:v>
                </c:pt>
                <c:pt idx="22">
                  <c:v>0.19191259145736694</c:v>
                </c:pt>
                <c:pt idx="23">
                  <c:v>0.2059064507484436</c:v>
                </c:pt>
                <c:pt idx="24">
                  <c:v>0.20945066213607788</c:v>
                </c:pt>
                <c:pt idx="25">
                  <c:v>0.22782808542251587</c:v>
                </c:pt>
                <c:pt idx="26">
                  <c:v>0.22804182767868042</c:v>
                </c:pt>
                <c:pt idx="27">
                  <c:v>0.2389792799949646</c:v>
                </c:pt>
                <c:pt idx="28">
                  <c:v>0.24754840135574341</c:v>
                </c:pt>
                <c:pt idx="29">
                  <c:v>0.24772590398788452</c:v>
                </c:pt>
                <c:pt idx="30">
                  <c:v>0.25755351781845093</c:v>
                </c:pt>
                <c:pt idx="31">
                  <c:v>0.26688545942306519</c:v>
                </c:pt>
                <c:pt idx="32">
                  <c:v>0.27735358476638794</c:v>
                </c:pt>
                <c:pt idx="33">
                  <c:v>0.28188914060592651</c:v>
                </c:pt>
                <c:pt idx="34">
                  <c:v>0.28612452745437622</c:v>
                </c:pt>
                <c:pt idx="35">
                  <c:v>0.2961077094078064</c:v>
                </c:pt>
                <c:pt idx="36">
                  <c:v>0.29763609170913696</c:v>
                </c:pt>
                <c:pt idx="37">
                  <c:v>0.29863458871841431</c:v>
                </c:pt>
                <c:pt idx="38">
                  <c:v>0.30439835786819458</c:v>
                </c:pt>
                <c:pt idx="39">
                  <c:v>0.32076317071914673</c:v>
                </c:pt>
                <c:pt idx="40">
                  <c:v>0.32565110921859741</c:v>
                </c:pt>
                <c:pt idx="41">
                  <c:v>0.33718246221542358</c:v>
                </c:pt>
                <c:pt idx="42">
                  <c:v>0.36816853284835815</c:v>
                </c:pt>
                <c:pt idx="43">
                  <c:v>0.37443023920059204</c:v>
                </c:pt>
                <c:pt idx="44">
                  <c:v>0.3769952654838562</c:v>
                </c:pt>
                <c:pt idx="45">
                  <c:v>0.37964028120040894</c:v>
                </c:pt>
                <c:pt idx="46">
                  <c:v>0.38630634546279907</c:v>
                </c:pt>
                <c:pt idx="47">
                  <c:v>0.38914555311203003</c:v>
                </c:pt>
                <c:pt idx="48">
                  <c:v>0.39173275232315063</c:v>
                </c:pt>
                <c:pt idx="49">
                  <c:v>0.40748041868209839</c:v>
                </c:pt>
                <c:pt idx="50">
                  <c:v>0.41315895318984985</c:v>
                </c:pt>
                <c:pt idx="51">
                  <c:v>0.41557079553604126</c:v>
                </c:pt>
                <c:pt idx="52">
                  <c:v>0.42467325925827026</c:v>
                </c:pt>
                <c:pt idx="53">
                  <c:v>0.43931180238723755</c:v>
                </c:pt>
                <c:pt idx="54">
                  <c:v>0.44069105386734009</c:v>
                </c:pt>
                <c:pt idx="55">
                  <c:v>0.45374935865402222</c:v>
                </c:pt>
                <c:pt idx="56">
                  <c:v>0.46926742792129517</c:v>
                </c:pt>
                <c:pt idx="57">
                  <c:v>0.47840303182601929</c:v>
                </c:pt>
                <c:pt idx="58">
                  <c:v>0.48205059766769409</c:v>
                </c:pt>
                <c:pt idx="59">
                  <c:v>0.4887731671333313</c:v>
                </c:pt>
                <c:pt idx="60">
                  <c:v>0.50103539228439331</c:v>
                </c:pt>
                <c:pt idx="61">
                  <c:v>0.52555698156356812</c:v>
                </c:pt>
                <c:pt idx="62">
                  <c:v>0.53212743997573853</c:v>
                </c:pt>
                <c:pt idx="63">
                  <c:v>0.54058939218521118</c:v>
                </c:pt>
                <c:pt idx="64">
                  <c:v>0.5809670090675354</c:v>
                </c:pt>
                <c:pt idx="65">
                  <c:v>0.58969837427139282</c:v>
                </c:pt>
                <c:pt idx="66">
                  <c:v>0.61758571863174438</c:v>
                </c:pt>
                <c:pt idx="67">
                  <c:v>0.62008136510848999</c:v>
                </c:pt>
                <c:pt idx="68">
                  <c:v>0.62144607305526733</c:v>
                </c:pt>
                <c:pt idx="69">
                  <c:v>0.6245463490486145</c:v>
                </c:pt>
                <c:pt idx="70">
                  <c:v>0.63275164365768433</c:v>
                </c:pt>
                <c:pt idx="71">
                  <c:v>0.64308708906173706</c:v>
                </c:pt>
                <c:pt idx="72">
                  <c:v>0.64815360307693481</c:v>
                </c:pt>
                <c:pt idx="73">
                  <c:v>0.64856415987014771</c:v>
                </c:pt>
                <c:pt idx="74">
                  <c:v>0.65548282861709595</c:v>
                </c:pt>
                <c:pt idx="75">
                  <c:v>0.65580981969833374</c:v>
                </c:pt>
                <c:pt idx="76">
                  <c:v>0.66486150026321411</c:v>
                </c:pt>
                <c:pt idx="77">
                  <c:v>0.68320339918136597</c:v>
                </c:pt>
                <c:pt idx="78">
                  <c:v>0.69225198030471802</c:v>
                </c:pt>
                <c:pt idx="79">
                  <c:v>0.69308358430862427</c:v>
                </c:pt>
                <c:pt idx="80">
                  <c:v>0.72963422536849976</c:v>
                </c:pt>
                <c:pt idx="81">
                  <c:v>0.73003000020980835</c:v>
                </c:pt>
                <c:pt idx="82">
                  <c:v>0.73086768388748169</c:v>
                </c:pt>
                <c:pt idx="83">
                  <c:v>0.74066585302352905</c:v>
                </c:pt>
                <c:pt idx="84">
                  <c:v>0.74683231115341187</c:v>
                </c:pt>
                <c:pt idx="85">
                  <c:v>0.76620227098464966</c:v>
                </c:pt>
                <c:pt idx="86">
                  <c:v>0.80716830492019653</c:v>
                </c:pt>
                <c:pt idx="87">
                  <c:v>0.84615880250930786</c:v>
                </c:pt>
                <c:pt idx="88">
                  <c:v>0.85963970422744751</c:v>
                </c:pt>
                <c:pt idx="89">
                  <c:v>0.86089402437210083</c:v>
                </c:pt>
                <c:pt idx="90">
                  <c:v>0.86945098638534546</c:v>
                </c:pt>
                <c:pt idx="91">
                  <c:v>0.87774366140365601</c:v>
                </c:pt>
                <c:pt idx="92">
                  <c:v>0.90503507852554321</c:v>
                </c:pt>
                <c:pt idx="93">
                  <c:v>0.91664367914199829</c:v>
                </c:pt>
                <c:pt idx="94">
                  <c:v>0.919444739818573</c:v>
                </c:pt>
                <c:pt idx="95">
                  <c:v>0.93921607732772827</c:v>
                </c:pt>
                <c:pt idx="96">
                  <c:v>0.95681732892990112</c:v>
                </c:pt>
                <c:pt idx="97">
                  <c:v>0.96780687570571899</c:v>
                </c:pt>
                <c:pt idx="98">
                  <c:v>0.97954148054122925</c:v>
                </c:pt>
                <c:pt idx="99">
                  <c:v>0.99992483854293823</c:v>
                </c:pt>
              </c:numCache>
            </c:numRef>
          </c:xVal>
          <c:yVal>
            <c:numRef>
              <c:f>data!$C$2:$C$101</c:f>
              <c:numCache>
                <c:formatCode>General</c:formatCode>
                <c:ptCount val="100"/>
                <c:pt idx="0">
                  <c:v>0.11063425104613288</c:v>
                </c:pt>
                <c:pt idx="1">
                  <c:v>0.14753838462292801</c:v>
                </c:pt>
                <c:pt idx="2">
                  <c:v>0.15089565165427307</c:v>
                </c:pt>
                <c:pt idx="3">
                  <c:v>0.33072356541655629</c:v>
                </c:pt>
                <c:pt idx="4">
                  <c:v>0.34202628239326693</c:v>
                </c:pt>
                <c:pt idx="5">
                  <c:v>0.39984973765367943</c:v>
                </c:pt>
                <c:pt idx="6">
                  <c:v>0.43194204358971433</c:v>
                </c:pt>
                <c:pt idx="7">
                  <c:v>0.465272202475773</c:v>
                </c:pt>
                <c:pt idx="8">
                  <c:v>0.49907525928061819</c:v>
                </c:pt>
                <c:pt idx="9">
                  <c:v>0.65878634224650945</c:v>
                </c:pt>
                <c:pt idx="10">
                  <c:v>0.69201478280615547</c:v>
                </c:pt>
                <c:pt idx="11">
                  <c:v>0.79032086595526752</c:v>
                </c:pt>
                <c:pt idx="12">
                  <c:v>0.82746739432726613</c:v>
                </c:pt>
                <c:pt idx="13">
                  <c:v>0.8396963693391194</c:v>
                </c:pt>
                <c:pt idx="14">
                  <c:v>0.86131118755426805</c:v>
                </c:pt>
                <c:pt idx="15">
                  <c:v>0.87823484134853291</c:v>
                </c:pt>
                <c:pt idx="16">
                  <c:v>0.88085677656584993</c:v>
                </c:pt>
                <c:pt idx="17">
                  <c:v>0.88579727054890511</c:v>
                </c:pt>
                <c:pt idx="18">
                  <c:v>0.88777738817375973</c:v>
                </c:pt>
                <c:pt idx="19">
                  <c:v>0.90369204797569314</c:v>
                </c:pt>
                <c:pt idx="20">
                  <c:v>0.90923892977835297</c:v>
                </c:pt>
                <c:pt idx="21">
                  <c:v>0.92074856329290178</c:v>
                </c:pt>
                <c:pt idx="22">
                  <c:v>0.93413305870325147</c:v>
                </c:pt>
                <c:pt idx="23">
                  <c:v>0.96186706773145403</c:v>
                </c:pt>
                <c:pt idx="24">
                  <c:v>0.96771901731410703</c:v>
                </c:pt>
                <c:pt idx="25">
                  <c:v>0.9903120108090756</c:v>
                </c:pt>
                <c:pt idx="26">
                  <c:v>0.99049760430263956</c:v>
                </c:pt>
                <c:pt idx="27">
                  <c:v>0.99760350714591495</c:v>
                </c:pt>
                <c:pt idx="28">
                  <c:v>0.99988136307031261</c:v>
                </c:pt>
                <c:pt idx="29">
                  <c:v>0.99989792016830059</c:v>
                </c:pt>
                <c:pt idx="30">
                  <c:v>0.99887397836205594</c:v>
                </c:pt>
                <c:pt idx="31">
                  <c:v>0.99437725877722893</c:v>
                </c:pt>
                <c:pt idx="32">
                  <c:v>0.98526707614705789</c:v>
                </c:pt>
                <c:pt idx="33">
                  <c:v>0.97999392267905405</c:v>
                </c:pt>
                <c:pt idx="34">
                  <c:v>0.97435109854084034</c:v>
                </c:pt>
                <c:pt idx="35">
                  <c:v>0.95832868041576513</c:v>
                </c:pt>
                <c:pt idx="36">
                  <c:v>0.95554123462831353</c:v>
                </c:pt>
                <c:pt idx="37">
                  <c:v>0.9536725820091484</c:v>
                </c:pt>
                <c:pt idx="38">
                  <c:v>0.94215455016803451</c:v>
                </c:pt>
                <c:pt idx="39">
                  <c:v>0.90277498517582022</c:v>
                </c:pt>
                <c:pt idx="40">
                  <c:v>0.88914177992882271</c:v>
                </c:pt>
                <c:pt idx="41">
                  <c:v>0.85368092899980386</c:v>
                </c:pt>
                <c:pt idx="42">
                  <c:v>0.73679757847652649</c:v>
                </c:pt>
                <c:pt idx="43">
                  <c:v>0.70963362525833618</c:v>
                </c:pt>
                <c:pt idx="44">
                  <c:v>0.69818671625012751</c:v>
                </c:pt>
                <c:pt idx="45">
                  <c:v>0.68619295627412746</c:v>
                </c:pt>
                <c:pt idx="46">
                  <c:v>0.65513273819196538</c:v>
                </c:pt>
                <c:pt idx="47">
                  <c:v>0.64155139834220065</c:v>
                </c:pt>
                <c:pt idx="48">
                  <c:v>0.62899764371286482</c:v>
                </c:pt>
                <c:pt idx="49">
                  <c:v>0.54912564577054812</c:v>
                </c:pt>
                <c:pt idx="50">
                  <c:v>0.51896388900808388</c:v>
                </c:pt>
                <c:pt idx="51">
                  <c:v>0.50595117126892231</c:v>
                </c:pt>
                <c:pt idx="52">
                  <c:v>0.45581875374409908</c:v>
                </c:pt>
                <c:pt idx="53">
                  <c:v>0.37214152015552665</c:v>
                </c:pt>
                <c:pt idx="54">
                  <c:v>0.3640839875871193</c:v>
                </c:pt>
                <c:pt idx="55">
                  <c:v>0.28652841346764291</c:v>
                </c:pt>
                <c:pt idx="56">
                  <c:v>0.19190066999469788</c:v>
                </c:pt>
                <c:pt idx="57">
                  <c:v>0.13528168267389606</c:v>
                </c:pt>
                <c:pt idx="58">
                  <c:v>0.11254049571055644</c:v>
                </c:pt>
                <c:pt idx="59">
                  <c:v>7.048178529309948E-2</c:v>
                </c:pt>
                <c:pt idx="60">
                  <c:v>-6.5055157001415835E-3</c:v>
                </c:pt>
                <c:pt idx="61">
                  <c:v>-0.15989003230058357</c:v>
                </c:pt>
                <c:pt idx="62">
                  <c:v>-0.20049451474654062</c:v>
                </c:pt>
                <c:pt idx="63">
                  <c:v>-0.25227508927021119</c:v>
                </c:pt>
                <c:pt idx="64">
                  <c:v>-0.48706909830660489</c:v>
                </c:pt>
                <c:pt idx="65">
                  <c:v>-0.53422568843354201</c:v>
                </c:pt>
                <c:pt idx="66">
                  <c:v>-0.67341077086656087</c:v>
                </c:pt>
                <c:pt idx="67">
                  <c:v>-0.68491968858528318</c:v>
                </c:pt>
                <c:pt idx="68">
                  <c:v>-0.69114212764212579</c:v>
                </c:pt>
                <c:pt idx="69">
                  <c:v>-0.7050883933567843</c:v>
                </c:pt>
                <c:pt idx="70">
                  <c:v>-0.7406942860716681</c:v>
                </c:pt>
                <c:pt idx="71">
                  <c:v>-0.7827314808526521</c:v>
                </c:pt>
                <c:pt idx="72">
                  <c:v>-0.80214365949358202</c:v>
                </c:pt>
                <c:pt idx="73">
                  <c:v>-0.80368135092796034</c:v>
                </c:pt>
                <c:pt idx="74">
                  <c:v>-0.82878195899127616</c:v>
                </c:pt>
                <c:pt idx="75">
                  <c:v>-0.82992987448147348</c:v>
                </c:pt>
                <c:pt idx="76">
                  <c:v>-0.8602987233756475</c:v>
                </c:pt>
                <c:pt idx="77">
                  <c:v>-0.91321309329651124</c:v>
                </c:pt>
                <c:pt idx="78">
                  <c:v>-0.93489205637337824</c:v>
                </c:pt>
                <c:pt idx="79">
                  <c:v>-0.93673384969197848</c:v>
                </c:pt>
                <c:pt idx="80">
                  <c:v>-0.99182403689253507</c:v>
                </c:pt>
                <c:pt idx="81">
                  <c:v>-0.99213830861205943</c:v>
                </c:pt>
                <c:pt idx="82">
                  <c:v>-0.9927832480481511</c:v>
                </c:pt>
                <c:pt idx="83">
                  <c:v>-0.99828068867442599</c:v>
                </c:pt>
                <c:pt idx="84">
                  <c:v>-0.99980193833060249</c:v>
                </c:pt>
                <c:pt idx="85">
                  <c:v>-0.9948226631786935</c:v>
                </c:pt>
                <c:pt idx="86">
                  <c:v>-0.93617867626205509</c:v>
                </c:pt>
                <c:pt idx="87">
                  <c:v>-0.82296617499277447</c:v>
                </c:pt>
                <c:pt idx="88">
                  <c:v>-0.77195427085738089</c:v>
                </c:pt>
                <c:pt idx="89">
                  <c:v>-0.76692049010263352</c:v>
                </c:pt>
                <c:pt idx="90">
                  <c:v>-0.7313256679859752</c:v>
                </c:pt>
                <c:pt idx="91">
                  <c:v>-0.69481255181841584</c:v>
                </c:pt>
                <c:pt idx="92">
                  <c:v>-0.5619010716094216</c:v>
                </c:pt>
                <c:pt idx="93">
                  <c:v>-0.50012507905709302</c:v>
                </c:pt>
                <c:pt idx="94">
                  <c:v>-0.4848079970471974</c:v>
                </c:pt>
                <c:pt idx="95">
                  <c:v>-0.37269971195843593</c:v>
                </c:pt>
                <c:pt idx="96">
                  <c:v>-0.26800793308776483</c:v>
                </c:pt>
                <c:pt idx="97">
                  <c:v>-0.20089882432263595</c:v>
                </c:pt>
                <c:pt idx="98">
                  <c:v>-0.12819095495604069</c:v>
                </c:pt>
                <c:pt idx="99">
                  <c:v>-4.7225334512319939E-4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data!$A$2:$A$101</c:f>
              <c:numCache>
                <c:formatCode>General</c:formatCode>
                <c:ptCount val="100"/>
                <c:pt idx="0">
                  <c:v>1.7644107341766357E-2</c:v>
                </c:pt>
                <c:pt idx="1">
                  <c:v>2.3567497730255127E-2</c:v>
                </c:pt>
                <c:pt idx="2">
                  <c:v>2.4107873439788818E-2</c:v>
                </c:pt>
                <c:pt idx="3">
                  <c:v>5.3646385669708252E-2</c:v>
                </c:pt>
                <c:pt idx="4">
                  <c:v>5.5556595325469971E-2</c:v>
                </c:pt>
                <c:pt idx="5">
                  <c:v>6.5468847751617432E-2</c:v>
                </c:pt>
                <c:pt idx="6">
                  <c:v>7.1085751056671143E-2</c:v>
                </c:pt>
                <c:pt idx="7">
                  <c:v>7.7021777629852295E-2</c:v>
                </c:pt>
                <c:pt idx="8">
                  <c:v>8.3163440227508545E-2</c:v>
                </c:pt>
                <c:pt idx="9">
                  <c:v>0.11446493864059448</c:v>
                </c:pt>
                <c:pt idx="10">
                  <c:v>0.12163835763931274</c:v>
                </c:pt>
                <c:pt idx="11">
                  <c:v>0.14504307508468628</c:v>
                </c:pt>
                <c:pt idx="12">
                  <c:v>0.15510958433151245</c:v>
                </c:pt>
                <c:pt idx="13">
                  <c:v>0.1586335301399231</c:v>
                </c:pt>
                <c:pt idx="14">
                  <c:v>0.16517812013626099</c:v>
                </c:pt>
                <c:pt idx="15">
                  <c:v>0.17063933610916138</c:v>
                </c:pt>
                <c:pt idx="16">
                  <c:v>0.17151635885238647</c:v>
                </c:pt>
                <c:pt idx="17">
                  <c:v>0.17319387197494507</c:v>
                </c:pt>
                <c:pt idx="18">
                  <c:v>0.17387574911117554</c:v>
                </c:pt>
                <c:pt idx="19">
                  <c:v>0.17957693338394165</c:v>
                </c:pt>
                <c:pt idx="20">
                  <c:v>0.1816677451133728</c:v>
                </c:pt>
                <c:pt idx="21">
                  <c:v>0.18621045351028442</c:v>
                </c:pt>
                <c:pt idx="22">
                  <c:v>0.19191259145736694</c:v>
                </c:pt>
                <c:pt idx="23">
                  <c:v>0.2059064507484436</c:v>
                </c:pt>
                <c:pt idx="24">
                  <c:v>0.20945066213607788</c:v>
                </c:pt>
                <c:pt idx="25">
                  <c:v>0.22782808542251587</c:v>
                </c:pt>
                <c:pt idx="26">
                  <c:v>0.22804182767868042</c:v>
                </c:pt>
                <c:pt idx="27">
                  <c:v>0.2389792799949646</c:v>
                </c:pt>
                <c:pt idx="28">
                  <c:v>0.24754840135574341</c:v>
                </c:pt>
                <c:pt idx="29">
                  <c:v>0.24772590398788452</c:v>
                </c:pt>
                <c:pt idx="30">
                  <c:v>0.25755351781845093</c:v>
                </c:pt>
                <c:pt idx="31">
                  <c:v>0.26688545942306519</c:v>
                </c:pt>
                <c:pt idx="32">
                  <c:v>0.27735358476638794</c:v>
                </c:pt>
                <c:pt idx="33">
                  <c:v>0.28188914060592651</c:v>
                </c:pt>
                <c:pt idx="34">
                  <c:v>0.28612452745437622</c:v>
                </c:pt>
                <c:pt idx="35">
                  <c:v>0.2961077094078064</c:v>
                </c:pt>
                <c:pt idx="36">
                  <c:v>0.29763609170913696</c:v>
                </c:pt>
                <c:pt idx="37">
                  <c:v>0.29863458871841431</c:v>
                </c:pt>
                <c:pt idx="38">
                  <c:v>0.30439835786819458</c:v>
                </c:pt>
                <c:pt idx="39">
                  <c:v>0.32076317071914673</c:v>
                </c:pt>
                <c:pt idx="40">
                  <c:v>0.32565110921859741</c:v>
                </c:pt>
                <c:pt idx="41">
                  <c:v>0.33718246221542358</c:v>
                </c:pt>
                <c:pt idx="42">
                  <c:v>0.36816853284835815</c:v>
                </c:pt>
                <c:pt idx="43">
                  <c:v>0.37443023920059204</c:v>
                </c:pt>
                <c:pt idx="44">
                  <c:v>0.3769952654838562</c:v>
                </c:pt>
                <c:pt idx="45">
                  <c:v>0.37964028120040894</c:v>
                </c:pt>
                <c:pt idx="46">
                  <c:v>0.38630634546279907</c:v>
                </c:pt>
                <c:pt idx="47">
                  <c:v>0.38914555311203003</c:v>
                </c:pt>
                <c:pt idx="48">
                  <c:v>0.39173275232315063</c:v>
                </c:pt>
                <c:pt idx="49">
                  <c:v>0.40748041868209839</c:v>
                </c:pt>
                <c:pt idx="50">
                  <c:v>0.41315895318984985</c:v>
                </c:pt>
                <c:pt idx="51">
                  <c:v>0.41557079553604126</c:v>
                </c:pt>
                <c:pt idx="52">
                  <c:v>0.42467325925827026</c:v>
                </c:pt>
                <c:pt idx="53">
                  <c:v>0.43931180238723755</c:v>
                </c:pt>
                <c:pt idx="54">
                  <c:v>0.44069105386734009</c:v>
                </c:pt>
                <c:pt idx="55">
                  <c:v>0.45374935865402222</c:v>
                </c:pt>
                <c:pt idx="56">
                  <c:v>0.46926742792129517</c:v>
                </c:pt>
                <c:pt idx="57">
                  <c:v>0.47840303182601929</c:v>
                </c:pt>
                <c:pt idx="58">
                  <c:v>0.48205059766769409</c:v>
                </c:pt>
                <c:pt idx="59">
                  <c:v>0.4887731671333313</c:v>
                </c:pt>
                <c:pt idx="60">
                  <c:v>0.50103539228439331</c:v>
                </c:pt>
                <c:pt idx="61">
                  <c:v>0.52555698156356812</c:v>
                </c:pt>
                <c:pt idx="62">
                  <c:v>0.53212743997573853</c:v>
                </c:pt>
                <c:pt idx="63">
                  <c:v>0.54058939218521118</c:v>
                </c:pt>
                <c:pt idx="64">
                  <c:v>0.5809670090675354</c:v>
                </c:pt>
                <c:pt idx="65">
                  <c:v>0.58969837427139282</c:v>
                </c:pt>
                <c:pt idx="66">
                  <c:v>0.61758571863174438</c:v>
                </c:pt>
                <c:pt idx="67">
                  <c:v>0.62008136510848999</c:v>
                </c:pt>
                <c:pt idx="68">
                  <c:v>0.62144607305526733</c:v>
                </c:pt>
                <c:pt idx="69">
                  <c:v>0.6245463490486145</c:v>
                </c:pt>
                <c:pt idx="70">
                  <c:v>0.63275164365768433</c:v>
                </c:pt>
                <c:pt idx="71">
                  <c:v>0.64308708906173706</c:v>
                </c:pt>
                <c:pt idx="72">
                  <c:v>0.64815360307693481</c:v>
                </c:pt>
                <c:pt idx="73">
                  <c:v>0.64856415987014771</c:v>
                </c:pt>
                <c:pt idx="74">
                  <c:v>0.65548282861709595</c:v>
                </c:pt>
                <c:pt idx="75">
                  <c:v>0.65580981969833374</c:v>
                </c:pt>
                <c:pt idx="76">
                  <c:v>0.66486150026321411</c:v>
                </c:pt>
                <c:pt idx="77">
                  <c:v>0.68320339918136597</c:v>
                </c:pt>
                <c:pt idx="78">
                  <c:v>0.69225198030471802</c:v>
                </c:pt>
                <c:pt idx="79">
                  <c:v>0.69308358430862427</c:v>
                </c:pt>
                <c:pt idx="80">
                  <c:v>0.72963422536849976</c:v>
                </c:pt>
                <c:pt idx="81">
                  <c:v>0.73003000020980835</c:v>
                </c:pt>
                <c:pt idx="82">
                  <c:v>0.73086768388748169</c:v>
                </c:pt>
                <c:pt idx="83">
                  <c:v>0.74066585302352905</c:v>
                </c:pt>
                <c:pt idx="84">
                  <c:v>0.74683231115341187</c:v>
                </c:pt>
                <c:pt idx="85">
                  <c:v>0.76620227098464966</c:v>
                </c:pt>
                <c:pt idx="86">
                  <c:v>0.80716830492019653</c:v>
                </c:pt>
                <c:pt idx="87">
                  <c:v>0.84615880250930786</c:v>
                </c:pt>
                <c:pt idx="88">
                  <c:v>0.85963970422744751</c:v>
                </c:pt>
                <c:pt idx="89">
                  <c:v>0.86089402437210083</c:v>
                </c:pt>
                <c:pt idx="90">
                  <c:v>0.86945098638534546</c:v>
                </c:pt>
                <c:pt idx="91">
                  <c:v>0.87774366140365601</c:v>
                </c:pt>
                <c:pt idx="92">
                  <c:v>0.90503507852554321</c:v>
                </c:pt>
                <c:pt idx="93">
                  <c:v>0.91664367914199829</c:v>
                </c:pt>
                <c:pt idx="94">
                  <c:v>0.919444739818573</c:v>
                </c:pt>
                <c:pt idx="95">
                  <c:v>0.93921607732772827</c:v>
                </c:pt>
                <c:pt idx="96">
                  <c:v>0.95681732892990112</c:v>
                </c:pt>
                <c:pt idx="97">
                  <c:v>0.96780687570571899</c:v>
                </c:pt>
                <c:pt idx="98">
                  <c:v>0.97954148054122925</c:v>
                </c:pt>
                <c:pt idx="99">
                  <c:v>0.99992483854293823</c:v>
                </c:pt>
              </c:numCache>
            </c:numRef>
          </c:xVal>
          <c:yVal>
            <c:numRef>
              <c:f>data!$D$2:$D$101</c:f>
              <c:numCache>
                <c:formatCode>General</c:formatCode>
                <c:ptCount val="100"/>
                <c:pt idx="0">
                  <c:v>0.37009762610211616</c:v>
                </c:pt>
                <c:pt idx="1">
                  <c:v>0.34201920803012137</c:v>
                </c:pt>
                <c:pt idx="2">
                  <c:v>0.34017115254822283</c:v>
                </c:pt>
                <c:pt idx="3">
                  <c:v>0.37202679619819584</c:v>
                </c:pt>
                <c:pt idx="4">
                  <c:v>0.38056673750758502</c:v>
                </c:pt>
                <c:pt idx="5">
                  <c:v>0.43224922185964909</c:v>
                </c:pt>
                <c:pt idx="6">
                  <c:v>0.46569460277780605</c:v>
                </c:pt>
                <c:pt idx="7">
                  <c:v>0.50316699186864056</c:v>
                </c:pt>
                <c:pt idx="8">
                  <c:v>0.54335549570173369</c:v>
                </c:pt>
                <c:pt idx="9">
                  <c:v>0.74448569921585162</c:v>
                </c:pt>
                <c:pt idx="10">
                  <c:v>0.78512277068898784</c:v>
                </c:pt>
                <c:pt idx="11">
                  <c:v>0.8938392219397393</c:v>
                </c:pt>
                <c:pt idx="12">
                  <c:v>0.92807617344468674</c:v>
                </c:pt>
                <c:pt idx="13">
                  <c:v>0.93821875306883395</c:v>
                </c:pt>
                <c:pt idx="14">
                  <c:v>0.95453523635427395</c:v>
                </c:pt>
                <c:pt idx="15">
                  <c:v>0.96567723730722865</c:v>
                </c:pt>
                <c:pt idx="16">
                  <c:v>0.96726011611803808</c:v>
                </c:pt>
                <c:pt idx="17">
                  <c:v>0.97013052494465912</c:v>
                </c:pt>
                <c:pt idx="18">
                  <c:v>0.97123858486175041</c:v>
                </c:pt>
                <c:pt idx="19">
                  <c:v>0.97919462509917621</c:v>
                </c:pt>
                <c:pt idx="20">
                  <c:v>0.98153650948625382</c:v>
                </c:pt>
                <c:pt idx="21">
                  <c:v>0.98558866209761309</c:v>
                </c:pt>
                <c:pt idx="22">
                  <c:v>0.988728575965516</c:v>
                </c:pt>
                <c:pt idx="23">
                  <c:v>0.9878855043617909</c:v>
                </c:pt>
                <c:pt idx="24">
                  <c:v>0.98589173536819674</c:v>
                </c:pt>
                <c:pt idx="25">
                  <c:v>0.96558475331227034</c:v>
                </c:pt>
                <c:pt idx="26">
                  <c:v>0.96525997039768097</c:v>
                </c:pt>
                <c:pt idx="27">
                  <c:v>0.946316439664459</c:v>
                </c:pt>
                <c:pt idx="28">
                  <c:v>0.92864031147802906</c:v>
                </c:pt>
                <c:pt idx="29">
                  <c:v>0.92825100036754693</c:v>
                </c:pt>
                <c:pt idx="30">
                  <c:v>0.90540895819543188</c:v>
                </c:pt>
                <c:pt idx="31">
                  <c:v>0.88169736957089273</c:v>
                </c:pt>
                <c:pt idx="32">
                  <c:v>0.85327830882642131</c:v>
                </c:pt>
                <c:pt idx="33">
                  <c:v>0.84049354817139921</c:v>
                </c:pt>
                <c:pt idx="34">
                  <c:v>0.828346186061376</c:v>
                </c:pt>
                <c:pt idx="35">
                  <c:v>0.79907484699632103</c:v>
                </c:pt>
                <c:pt idx="36">
                  <c:v>0.79452915695804571</c:v>
                </c:pt>
                <c:pt idx="37">
                  <c:v>0.79155174069199863</c:v>
                </c:pt>
                <c:pt idx="38">
                  <c:v>0.77425964776810197</c:v>
                </c:pt>
                <c:pt idx="39">
                  <c:v>0.72448363387655346</c:v>
                </c:pt>
                <c:pt idx="40">
                  <c:v>0.70949772789234522</c:v>
                </c:pt>
                <c:pt idx="41">
                  <c:v>0.67402809707297839</c:v>
                </c:pt>
                <c:pt idx="42">
                  <c:v>0.57787871744885988</c:v>
                </c:pt>
                <c:pt idx="43">
                  <c:v>0.55815463449383418</c:v>
                </c:pt>
                <c:pt idx="44">
                  <c:v>0.55002570466157363</c:v>
                </c:pt>
                <c:pt idx="45">
                  <c:v>0.54160859431916264</c:v>
                </c:pt>
                <c:pt idx="46">
                  <c:v>0.5202154769745222</c:v>
                </c:pt>
                <c:pt idx="47">
                  <c:v>0.51101430492403832</c:v>
                </c:pt>
                <c:pt idx="48">
                  <c:v>0.50257727232270044</c:v>
                </c:pt>
                <c:pt idx="49">
                  <c:v>0.44991037637948517</c:v>
                </c:pt>
                <c:pt idx="50">
                  <c:v>0.43025027494556967</c:v>
                </c:pt>
                <c:pt idx="51">
                  <c:v>0.42177392989195672</c:v>
                </c:pt>
                <c:pt idx="52">
                  <c:v>0.38903218639302617</c:v>
                </c:pt>
                <c:pt idx="53">
                  <c:v>0.33351738559787458</c:v>
                </c:pt>
                <c:pt idx="54">
                  <c:v>0.32808311143090707</c:v>
                </c:pt>
                <c:pt idx="55">
                  <c:v>0.27469362532574504</c:v>
                </c:pt>
                <c:pt idx="56">
                  <c:v>0.20625592043933327</c:v>
                </c:pt>
                <c:pt idx="57">
                  <c:v>0.16320031503615162</c:v>
                </c:pt>
                <c:pt idx="58">
                  <c:v>0.14540952436401966</c:v>
                </c:pt>
                <c:pt idx="59">
                  <c:v>0.111703702173366</c:v>
                </c:pt>
                <c:pt idx="60">
                  <c:v>4.7117691994479571E-2</c:v>
                </c:pt>
                <c:pt idx="61">
                  <c:v>-9.3993591287748757E-2</c:v>
                </c:pt>
                <c:pt idx="62">
                  <c:v>-0.13439097550396006</c:v>
                </c:pt>
                <c:pt idx="63">
                  <c:v>-0.18789717200229283</c:v>
                </c:pt>
                <c:pt idx="64">
                  <c:v>-0.46111024996463712</c:v>
                </c:pt>
                <c:pt idx="65">
                  <c:v>-0.5225612814487306</c:v>
                </c:pt>
                <c:pt idx="66">
                  <c:v>-0.71814313116933448</c:v>
                </c:pt>
                <c:pt idx="67">
                  <c:v>-0.73531084436054783</c:v>
                </c:pt>
                <c:pt idx="68">
                  <c:v>-0.74465844240249623</c:v>
                </c:pt>
                <c:pt idx="69">
                  <c:v>-0.765777671275643</c:v>
                </c:pt>
                <c:pt idx="70">
                  <c:v>-0.82076712070416136</c:v>
                </c:pt>
                <c:pt idx="71">
                  <c:v>-0.88770638829468851</c:v>
                </c:pt>
                <c:pt idx="72">
                  <c:v>-0.91936790908027888</c:v>
                </c:pt>
                <c:pt idx="73">
                  <c:v>-0.92189633117885705</c:v>
                </c:pt>
                <c:pt idx="74">
                  <c:v>-0.96359471703230781</c:v>
                </c:pt>
                <c:pt idx="75">
                  <c:v>-0.96552088464407859</c:v>
                </c:pt>
                <c:pt idx="76">
                  <c:v>-1.0170868183321176</c:v>
                </c:pt>
                <c:pt idx="77">
                  <c:v>-1.1096477944168441</c:v>
                </c:pt>
                <c:pt idx="78">
                  <c:v>-1.1484484114859441</c:v>
                </c:pt>
                <c:pt idx="79">
                  <c:v>-1.1517627632707246</c:v>
                </c:pt>
                <c:pt idx="80">
                  <c:v>-1.2497561531467341</c:v>
                </c:pt>
                <c:pt idx="81">
                  <c:v>-1.2502624128083539</c:v>
                </c:pt>
                <c:pt idx="82">
                  <c:v>-1.251292021745968</c:v>
                </c:pt>
                <c:pt idx="83">
                  <c:v>-1.2590447638791602</c:v>
                </c:pt>
                <c:pt idx="84">
                  <c:v>-1.2597924944115277</c:v>
                </c:pt>
                <c:pt idx="85">
                  <c:v>-1.2408098394942044</c:v>
                </c:pt>
                <c:pt idx="86">
                  <c:v>-1.0944851655567049</c:v>
                </c:pt>
                <c:pt idx="87">
                  <c:v>-0.83929831445357195</c:v>
                </c:pt>
                <c:pt idx="88">
                  <c:v>-0.7328023624548905</c:v>
                </c:pt>
                <c:pt idx="89">
                  <c:v>-0.72258975998283859</c:v>
                </c:pt>
                <c:pt idx="90">
                  <c:v>-0.65194461636099277</c:v>
                </c:pt>
                <c:pt idx="91">
                  <c:v>-0.58241969057098686</c:v>
                </c:pt>
                <c:pt idx="92">
                  <c:v>-0.3564891630907141</c:v>
                </c:pt>
                <c:pt idx="93">
                  <c:v>-0.26717574929307375</c:v>
                </c:pt>
                <c:pt idx="94">
                  <c:v>-0.24667745199781166</c:v>
                </c:pt>
                <c:pt idx="95">
                  <c:v>-0.11767441667620915</c:v>
                </c:pt>
                <c:pt idx="96">
                  <c:v>-3.265484275630115E-2</c:v>
                </c:pt>
                <c:pt idx="97">
                  <c:v>2.6802691004377266E-3</c:v>
                </c:pt>
                <c:pt idx="98">
                  <c:v>2.3336253388379191E-2</c:v>
                </c:pt>
                <c:pt idx="99">
                  <c:v>1.3933439225183974E-2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y_regular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data!$A$2:$A$101</c:f>
              <c:numCache>
                <c:formatCode>General</c:formatCode>
                <c:ptCount val="100"/>
                <c:pt idx="0">
                  <c:v>1.7644107341766357E-2</c:v>
                </c:pt>
                <c:pt idx="1">
                  <c:v>2.3567497730255127E-2</c:v>
                </c:pt>
                <c:pt idx="2">
                  <c:v>2.4107873439788818E-2</c:v>
                </c:pt>
                <c:pt idx="3">
                  <c:v>5.3646385669708252E-2</c:v>
                </c:pt>
                <c:pt idx="4">
                  <c:v>5.5556595325469971E-2</c:v>
                </c:pt>
                <c:pt idx="5">
                  <c:v>6.5468847751617432E-2</c:v>
                </c:pt>
                <c:pt idx="6">
                  <c:v>7.1085751056671143E-2</c:v>
                </c:pt>
                <c:pt idx="7">
                  <c:v>7.7021777629852295E-2</c:v>
                </c:pt>
                <c:pt idx="8">
                  <c:v>8.3163440227508545E-2</c:v>
                </c:pt>
                <c:pt idx="9">
                  <c:v>0.11446493864059448</c:v>
                </c:pt>
                <c:pt idx="10">
                  <c:v>0.12163835763931274</c:v>
                </c:pt>
                <c:pt idx="11">
                  <c:v>0.14504307508468628</c:v>
                </c:pt>
                <c:pt idx="12">
                  <c:v>0.15510958433151245</c:v>
                </c:pt>
                <c:pt idx="13">
                  <c:v>0.1586335301399231</c:v>
                </c:pt>
                <c:pt idx="14">
                  <c:v>0.16517812013626099</c:v>
                </c:pt>
                <c:pt idx="15">
                  <c:v>0.17063933610916138</c:v>
                </c:pt>
                <c:pt idx="16">
                  <c:v>0.17151635885238647</c:v>
                </c:pt>
                <c:pt idx="17">
                  <c:v>0.17319387197494507</c:v>
                </c:pt>
                <c:pt idx="18">
                  <c:v>0.17387574911117554</c:v>
                </c:pt>
                <c:pt idx="19">
                  <c:v>0.17957693338394165</c:v>
                </c:pt>
                <c:pt idx="20">
                  <c:v>0.1816677451133728</c:v>
                </c:pt>
                <c:pt idx="21">
                  <c:v>0.18621045351028442</c:v>
                </c:pt>
                <c:pt idx="22">
                  <c:v>0.19191259145736694</c:v>
                </c:pt>
                <c:pt idx="23">
                  <c:v>0.2059064507484436</c:v>
                </c:pt>
                <c:pt idx="24">
                  <c:v>0.20945066213607788</c:v>
                </c:pt>
                <c:pt idx="25">
                  <c:v>0.22782808542251587</c:v>
                </c:pt>
                <c:pt idx="26">
                  <c:v>0.22804182767868042</c:v>
                </c:pt>
                <c:pt idx="27">
                  <c:v>0.2389792799949646</c:v>
                </c:pt>
                <c:pt idx="28">
                  <c:v>0.24754840135574341</c:v>
                </c:pt>
                <c:pt idx="29">
                  <c:v>0.24772590398788452</c:v>
                </c:pt>
                <c:pt idx="30">
                  <c:v>0.25755351781845093</c:v>
                </c:pt>
                <c:pt idx="31">
                  <c:v>0.26688545942306519</c:v>
                </c:pt>
                <c:pt idx="32">
                  <c:v>0.27735358476638794</c:v>
                </c:pt>
                <c:pt idx="33">
                  <c:v>0.28188914060592651</c:v>
                </c:pt>
                <c:pt idx="34">
                  <c:v>0.28612452745437622</c:v>
                </c:pt>
                <c:pt idx="35">
                  <c:v>0.2961077094078064</c:v>
                </c:pt>
                <c:pt idx="36">
                  <c:v>0.29763609170913696</c:v>
                </c:pt>
                <c:pt idx="37">
                  <c:v>0.29863458871841431</c:v>
                </c:pt>
                <c:pt idx="38">
                  <c:v>0.30439835786819458</c:v>
                </c:pt>
                <c:pt idx="39">
                  <c:v>0.32076317071914673</c:v>
                </c:pt>
                <c:pt idx="40">
                  <c:v>0.32565110921859741</c:v>
                </c:pt>
                <c:pt idx="41">
                  <c:v>0.33718246221542358</c:v>
                </c:pt>
                <c:pt idx="42">
                  <c:v>0.36816853284835815</c:v>
                </c:pt>
                <c:pt idx="43">
                  <c:v>0.37443023920059204</c:v>
                </c:pt>
                <c:pt idx="44">
                  <c:v>0.3769952654838562</c:v>
                </c:pt>
                <c:pt idx="45">
                  <c:v>0.37964028120040894</c:v>
                </c:pt>
                <c:pt idx="46">
                  <c:v>0.38630634546279907</c:v>
                </c:pt>
                <c:pt idx="47">
                  <c:v>0.38914555311203003</c:v>
                </c:pt>
                <c:pt idx="48">
                  <c:v>0.39173275232315063</c:v>
                </c:pt>
                <c:pt idx="49">
                  <c:v>0.40748041868209839</c:v>
                </c:pt>
                <c:pt idx="50">
                  <c:v>0.41315895318984985</c:v>
                </c:pt>
                <c:pt idx="51">
                  <c:v>0.41557079553604126</c:v>
                </c:pt>
                <c:pt idx="52">
                  <c:v>0.42467325925827026</c:v>
                </c:pt>
                <c:pt idx="53">
                  <c:v>0.43931180238723755</c:v>
                </c:pt>
                <c:pt idx="54">
                  <c:v>0.44069105386734009</c:v>
                </c:pt>
                <c:pt idx="55">
                  <c:v>0.45374935865402222</c:v>
                </c:pt>
                <c:pt idx="56">
                  <c:v>0.46926742792129517</c:v>
                </c:pt>
                <c:pt idx="57">
                  <c:v>0.47840303182601929</c:v>
                </c:pt>
                <c:pt idx="58">
                  <c:v>0.48205059766769409</c:v>
                </c:pt>
                <c:pt idx="59">
                  <c:v>0.4887731671333313</c:v>
                </c:pt>
                <c:pt idx="60">
                  <c:v>0.50103539228439331</c:v>
                </c:pt>
                <c:pt idx="61">
                  <c:v>0.52555698156356812</c:v>
                </c:pt>
                <c:pt idx="62">
                  <c:v>0.53212743997573853</c:v>
                </c:pt>
                <c:pt idx="63">
                  <c:v>0.54058939218521118</c:v>
                </c:pt>
                <c:pt idx="64">
                  <c:v>0.5809670090675354</c:v>
                </c:pt>
                <c:pt idx="65">
                  <c:v>0.58969837427139282</c:v>
                </c:pt>
                <c:pt idx="66">
                  <c:v>0.61758571863174438</c:v>
                </c:pt>
                <c:pt idx="67">
                  <c:v>0.62008136510848999</c:v>
                </c:pt>
                <c:pt idx="68">
                  <c:v>0.62144607305526733</c:v>
                </c:pt>
                <c:pt idx="69">
                  <c:v>0.6245463490486145</c:v>
                </c:pt>
                <c:pt idx="70">
                  <c:v>0.63275164365768433</c:v>
                </c:pt>
                <c:pt idx="71">
                  <c:v>0.64308708906173706</c:v>
                </c:pt>
                <c:pt idx="72">
                  <c:v>0.64815360307693481</c:v>
                </c:pt>
                <c:pt idx="73">
                  <c:v>0.64856415987014771</c:v>
                </c:pt>
                <c:pt idx="74">
                  <c:v>0.65548282861709595</c:v>
                </c:pt>
                <c:pt idx="75">
                  <c:v>0.65580981969833374</c:v>
                </c:pt>
                <c:pt idx="76">
                  <c:v>0.66486150026321411</c:v>
                </c:pt>
                <c:pt idx="77">
                  <c:v>0.68320339918136597</c:v>
                </c:pt>
                <c:pt idx="78">
                  <c:v>0.69225198030471802</c:v>
                </c:pt>
                <c:pt idx="79">
                  <c:v>0.69308358430862427</c:v>
                </c:pt>
                <c:pt idx="80">
                  <c:v>0.72963422536849976</c:v>
                </c:pt>
                <c:pt idx="81">
                  <c:v>0.73003000020980835</c:v>
                </c:pt>
                <c:pt idx="82">
                  <c:v>0.73086768388748169</c:v>
                </c:pt>
                <c:pt idx="83">
                  <c:v>0.74066585302352905</c:v>
                </c:pt>
                <c:pt idx="84">
                  <c:v>0.74683231115341187</c:v>
                </c:pt>
                <c:pt idx="85">
                  <c:v>0.76620227098464966</c:v>
                </c:pt>
                <c:pt idx="86">
                  <c:v>0.80716830492019653</c:v>
                </c:pt>
                <c:pt idx="87">
                  <c:v>0.84615880250930786</c:v>
                </c:pt>
                <c:pt idx="88">
                  <c:v>0.85963970422744751</c:v>
                </c:pt>
                <c:pt idx="89">
                  <c:v>0.86089402437210083</c:v>
                </c:pt>
                <c:pt idx="90">
                  <c:v>0.86945098638534546</c:v>
                </c:pt>
                <c:pt idx="91">
                  <c:v>0.87774366140365601</c:v>
                </c:pt>
                <c:pt idx="92">
                  <c:v>0.90503507852554321</c:v>
                </c:pt>
                <c:pt idx="93">
                  <c:v>0.91664367914199829</c:v>
                </c:pt>
                <c:pt idx="94">
                  <c:v>0.919444739818573</c:v>
                </c:pt>
                <c:pt idx="95">
                  <c:v>0.93921607732772827</c:v>
                </c:pt>
                <c:pt idx="96">
                  <c:v>0.95681732892990112</c:v>
                </c:pt>
                <c:pt idx="97">
                  <c:v>0.96780687570571899</c:v>
                </c:pt>
                <c:pt idx="98">
                  <c:v>0.97954148054122925</c:v>
                </c:pt>
                <c:pt idx="99">
                  <c:v>0.99992483854293823</c:v>
                </c:pt>
              </c:numCache>
            </c:numRef>
          </c:xVal>
          <c:yVal>
            <c:numRef>
              <c:f>data!$E$2:$E$101</c:f>
              <c:numCache>
                <c:formatCode>General</c:formatCode>
                <c:ptCount val="100"/>
                <c:pt idx="0">
                  <c:v>0.46098449972330169</c:v>
                </c:pt>
                <c:pt idx="1">
                  <c:v>0.48636575329540344</c:v>
                </c:pt>
                <c:pt idx="2">
                  <c:v>0.48864386244087382</c:v>
                </c:pt>
                <c:pt idx="3">
                  <c:v>0.60353923645915819</c:v>
                </c:pt>
                <c:pt idx="4">
                  <c:v>0.61031047568778396</c:v>
                </c:pt>
                <c:pt idx="5">
                  <c:v>0.64414346185094429</c:v>
                </c:pt>
                <c:pt idx="6">
                  <c:v>0.66233958698476347</c:v>
                </c:pt>
                <c:pt idx="7">
                  <c:v>0.68079722123673159</c:v>
                </c:pt>
                <c:pt idx="8">
                  <c:v>0.69905450407890657</c:v>
                </c:pt>
                <c:pt idx="9">
                  <c:v>0.77867741189417561</c:v>
                </c:pt>
                <c:pt idx="10">
                  <c:v>0.79372797038673382</c:v>
                </c:pt>
                <c:pt idx="11">
                  <c:v>0.83443694689484538</c:v>
                </c:pt>
                <c:pt idx="12">
                  <c:v>0.84796662781094689</c:v>
                </c:pt>
                <c:pt idx="13">
                  <c:v>0.85213443871014616</c:v>
                </c:pt>
                <c:pt idx="14">
                  <c:v>0.85909097535074264</c:v>
                </c:pt>
                <c:pt idx="15">
                  <c:v>0.86411496770333385</c:v>
                </c:pt>
                <c:pt idx="16">
                  <c:v>0.86485550002028255</c:v>
                </c:pt>
                <c:pt idx="17">
                  <c:v>0.86622082428653835</c:v>
                </c:pt>
                <c:pt idx="18">
                  <c:v>0.86675660757630546</c:v>
                </c:pt>
                <c:pt idx="19">
                  <c:v>0.87080193453376376</c:v>
                </c:pt>
                <c:pt idx="20">
                  <c:v>0.87209096115095441</c:v>
                </c:pt>
                <c:pt idx="21">
                  <c:v>0.87453167279759159</c:v>
                </c:pt>
                <c:pt idx="22">
                  <c:v>0.87689736149337427</c:v>
                </c:pt>
                <c:pt idx="23">
                  <c:v>0.87941031228368283</c:v>
                </c:pt>
                <c:pt idx="24">
                  <c:v>0.87930465283111181</c:v>
                </c:pt>
                <c:pt idx="25">
                  <c:v>0.87395826587872305</c:v>
                </c:pt>
                <c:pt idx="26">
                  <c:v>0.87384885655050015</c:v>
                </c:pt>
                <c:pt idx="27">
                  <c:v>0.86680635390330951</c:v>
                </c:pt>
                <c:pt idx="28">
                  <c:v>0.85931663278948811</c:v>
                </c:pt>
                <c:pt idx="29">
                  <c:v>0.85914324117354146</c:v>
                </c:pt>
                <c:pt idx="30">
                  <c:v>0.84839242005760718</c:v>
                </c:pt>
                <c:pt idx="31">
                  <c:v>0.83610169147881541</c:v>
                </c:pt>
                <c:pt idx="32">
                  <c:v>0.81992196614467117</c:v>
                </c:pt>
                <c:pt idx="33">
                  <c:v>0.8121327116696716</c:v>
                </c:pt>
                <c:pt idx="34">
                  <c:v>0.8044368018867627</c:v>
                </c:pt>
                <c:pt idx="35">
                  <c:v>0.78469649405356434</c:v>
                </c:pt>
                <c:pt idx="36">
                  <c:v>0.78147738573717784</c:v>
                </c:pt>
                <c:pt idx="37">
                  <c:v>0.77934625713328287</c:v>
                </c:pt>
                <c:pt idx="38">
                  <c:v>0.76661256131251687</c:v>
                </c:pt>
                <c:pt idx="39">
                  <c:v>0.72649639740929017</c:v>
                </c:pt>
                <c:pt idx="40">
                  <c:v>0.7133959858322706</c:v>
                </c:pt>
                <c:pt idx="41">
                  <c:v>0.68049648215413205</c:v>
                </c:pt>
                <c:pt idx="42">
                  <c:v>0.57873659326074156</c:v>
                </c:pt>
                <c:pt idx="43">
                  <c:v>0.55591407293155681</c:v>
                </c:pt>
                <c:pt idx="44">
                  <c:v>0.54635510778656082</c:v>
                </c:pt>
                <c:pt idx="45">
                  <c:v>0.53637197245394586</c:v>
                </c:pt>
                <c:pt idx="46">
                  <c:v>0.51065270090494708</c:v>
                </c:pt>
                <c:pt idx="47">
                  <c:v>0.49945897671720685</c:v>
                </c:pt>
                <c:pt idx="48">
                  <c:v>0.48913632550693265</c:v>
                </c:pt>
                <c:pt idx="49">
                  <c:v>0.42386298627358437</c:v>
                </c:pt>
                <c:pt idx="50">
                  <c:v>0.3993352962107164</c:v>
                </c:pt>
                <c:pt idx="51">
                  <c:v>0.38876521288194837</c:v>
                </c:pt>
                <c:pt idx="52">
                  <c:v>0.34808019949913566</c:v>
                </c:pt>
                <c:pt idx="53">
                  <c:v>0.28015974188128018</c:v>
                </c:pt>
                <c:pt idx="54">
                  <c:v>0.2736106372756833</c:v>
                </c:pt>
                <c:pt idx="55">
                  <c:v>0.21042030457344099</c:v>
                </c:pt>
                <c:pt idx="56">
                  <c:v>0.13277267004429591</c:v>
                </c:pt>
                <c:pt idx="57">
                  <c:v>8.5921086884409567E-2</c:v>
                </c:pt>
                <c:pt idx="58">
                  <c:v>6.700445147679869E-2</c:v>
                </c:pt>
                <c:pt idx="59">
                  <c:v>3.1853852848045955E-2</c:v>
                </c:pt>
                <c:pt idx="60">
                  <c:v>-3.3108475952992343E-2</c:v>
                </c:pt>
                <c:pt idx="61">
                  <c:v>-0.16542563608025029</c:v>
                </c:pt>
                <c:pt idx="62">
                  <c:v>-0.20121747983631438</c:v>
                </c:pt>
                <c:pt idx="63">
                  <c:v>-0.2473994743243485</c:v>
                </c:pt>
                <c:pt idx="64">
                  <c:v>-0.46620239102422856</c:v>
                </c:pt>
                <c:pt idx="65">
                  <c:v>-0.51248405510656192</c:v>
                </c:pt>
                <c:pt idx="66">
                  <c:v>-0.65548045667281973</c:v>
                </c:pt>
                <c:pt idx="67">
                  <c:v>-0.66782457408357765</c:v>
                </c:pt>
                <c:pt idx="68">
                  <c:v>-0.67453784713629905</c:v>
                </c:pt>
                <c:pt idx="69">
                  <c:v>-0.6896884716679168</c:v>
                </c:pt>
                <c:pt idx="70">
                  <c:v>-0.72907502826570281</c:v>
                </c:pt>
                <c:pt idx="71">
                  <c:v>-0.77707452317519177</c:v>
                </c:pt>
                <c:pt idx="72">
                  <c:v>-0.79988364747993557</c:v>
                </c:pt>
                <c:pt idx="73">
                  <c:v>-0.80170992897828142</c:v>
                </c:pt>
                <c:pt idx="74">
                  <c:v>-0.83196728034521916</c:v>
                </c:pt>
                <c:pt idx="75">
                  <c:v>-0.83337240641299704</c:v>
                </c:pt>
                <c:pt idx="76">
                  <c:v>-0.87132635306928852</c:v>
                </c:pt>
                <c:pt idx="77">
                  <c:v>-0.9421434400235299</c:v>
                </c:pt>
                <c:pt idx="78">
                  <c:v>-0.97373658610712643</c:v>
                </c:pt>
                <c:pt idx="79">
                  <c:v>-0.97652048663026925</c:v>
                </c:pt>
                <c:pt idx="80">
                  <c:v>-1.0765107621423888</c:v>
                </c:pt>
                <c:pt idx="81">
                  <c:v>-1.077332267489467</c:v>
                </c:pt>
                <c:pt idx="82">
                  <c:v>-1.0790510227077585</c:v>
                </c:pt>
                <c:pt idx="83">
                  <c:v>-1.0970897691566273</c:v>
                </c:pt>
                <c:pt idx="84">
                  <c:v>-1.1064246769813326</c:v>
                </c:pt>
                <c:pt idx="85">
                  <c:v>-1.1248984113158611</c:v>
                </c:pt>
                <c:pt idx="86">
                  <c:v>-1.1030421415799454</c:v>
                </c:pt>
                <c:pt idx="87">
                  <c:v>-0.99284242768734399</c:v>
                </c:pt>
                <c:pt idx="88">
                  <c:v>-0.93184747791475664</c:v>
                </c:pt>
                <c:pt idx="89">
                  <c:v>-0.9255363695430443</c:v>
                </c:pt>
                <c:pt idx="90">
                  <c:v>-0.87952221264268038</c:v>
                </c:pt>
                <c:pt idx="91">
                  <c:v>-0.82991292541932749</c:v>
                </c:pt>
                <c:pt idx="92">
                  <c:v>-0.63031854359825856</c:v>
                </c:pt>
                <c:pt idx="93">
                  <c:v>-0.52784316899841643</c:v>
                </c:pt>
                <c:pt idx="94">
                  <c:v>-0.50149525568696562</c:v>
                </c:pt>
                <c:pt idx="95">
                  <c:v>-0.29717844529460535</c:v>
                </c:pt>
                <c:pt idx="96">
                  <c:v>-8.7620474259821002E-2</c:v>
                </c:pt>
                <c:pt idx="97">
                  <c:v>5.6750702382593055E-2</c:v>
                </c:pt>
                <c:pt idx="98">
                  <c:v>0.2225721594237049</c:v>
                </c:pt>
                <c:pt idx="99">
                  <c:v>0.53957372374949175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77200"/>
        <c:axId val="1178257552"/>
      </c:scatterChart>
      <c:valAx>
        <c:axId val="1177577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8257552"/>
        <c:crosses val="autoZero"/>
        <c:crossBetween val="midCat"/>
      </c:valAx>
      <c:valAx>
        <c:axId val="1178257552"/>
        <c:scaling>
          <c:orientation val="minMax"/>
          <c:max val="1.5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757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10</xdr:row>
      <xdr:rowOff>19050</xdr:rowOff>
    </xdr:from>
    <xdr:to>
      <xdr:col>11</xdr:col>
      <xdr:colOff>571500</xdr:colOff>
      <xdr:row>26</xdr:row>
      <xdr:rowOff>19050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4</xdr:row>
          <xdr:rowOff>114300</xdr:rowOff>
        </xdr:from>
        <xdr:to>
          <xdr:col>7</xdr:col>
          <xdr:colOff>247650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4</xdr:row>
          <xdr:rowOff>85725</xdr:rowOff>
        </xdr:from>
        <xdr:to>
          <xdr:col>14</xdr:col>
          <xdr:colOff>523875</xdr:colOff>
          <xdr:row>5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01"/>
  <sheetViews>
    <sheetView tabSelected="1" workbookViewId="0"/>
  </sheetViews>
  <sheetFormatPr defaultRowHeight="13.5" x14ac:dyDescent="0.15"/>
  <sheetData>
    <row r="1" spans="1:5" x14ac:dyDescent="0.15">
      <c r="A1" t="s">
        <v>0</v>
      </c>
      <c r="B1" t="s">
        <v>13</v>
      </c>
      <c r="C1" t="s">
        <v>1</v>
      </c>
      <c r="D1" t="s">
        <v>14</v>
      </c>
      <c r="E1" t="s">
        <v>15</v>
      </c>
    </row>
    <row r="2" spans="1:5" x14ac:dyDescent="0.15">
      <c r="A2">
        <v>1.7644107341766357E-2</v>
      </c>
      <c r="B2">
        <v>0.59528691481552964</v>
      </c>
      <c r="C2">
        <f t="shared" ref="C2:C33" si="0">SIN(A2*2*PI())</f>
        <v>0.11063425104613288</v>
      </c>
      <c r="D2">
        <f>w_ML!$A$1+w_ML!$A$2*dmatrix!B2+w_ML!$A$3*dmatrix!C2+w_ML!$A$4*dmatrix!D2+w_ML!$A$5*dmatrix!E2+w_ML!$A$6*dmatrix!F2+w_ML!$A$7*dmatrix!G2+w_ML!$A$8*dmatrix!H2+w_ML!$A$9*dmatrix!I2</f>
        <v>0.37009762610211616</v>
      </c>
      <c r="E2">
        <f>w_ML2!$A$1+w_ML2!$A$2*dmatrix!B2+w_ML2!$A$3*dmatrix!C2+w_ML2!$A$4*dmatrix!D2+w_ML2!$A$5*dmatrix!E2+w_ML2!$A$6*dmatrix!F2+w_ML2!$A$7*dmatrix!G2+w_ML2!$A$8*dmatrix!H2+w_ML2!$A$9*dmatrix!I2</f>
        <v>0.46098449972330169</v>
      </c>
    </row>
    <row r="3" spans="1:5" x14ac:dyDescent="0.15">
      <c r="A3">
        <v>2.3567497730255127E-2</v>
      </c>
      <c r="B3">
        <v>4.3967298418503081E-2</v>
      </c>
      <c r="C3">
        <f t="shared" si="0"/>
        <v>0.14753838462292801</v>
      </c>
      <c r="D3">
        <f>w_ML!$A$1+w_ML!$A$2*dmatrix!B3+w_ML!$A$3*dmatrix!C3+w_ML!$A$4*dmatrix!D3+w_ML!$A$5*dmatrix!E3+w_ML!$A$6*dmatrix!F3+w_ML!$A$7*dmatrix!G3+w_ML!$A$8*dmatrix!H3+w_ML!$A$9*dmatrix!I3</f>
        <v>0.34201920803012137</v>
      </c>
      <c r="E3">
        <f>w_ML2!$A$1+w_ML2!$A$2*dmatrix!B3+w_ML2!$A$3*dmatrix!C3+w_ML2!$A$4*dmatrix!D3+w_ML2!$A$5*dmatrix!E3+w_ML2!$A$6*dmatrix!F3+w_ML2!$A$7*dmatrix!G3+w_ML2!$A$8*dmatrix!H3+w_ML2!$A$9*dmatrix!I3</f>
        <v>0.48636575329540344</v>
      </c>
    </row>
    <row r="4" spans="1:5" x14ac:dyDescent="0.15">
      <c r="A4">
        <v>2.4107873439788818E-2</v>
      </c>
      <c r="B4">
        <v>0.21219341531671421</v>
      </c>
      <c r="C4">
        <f t="shared" si="0"/>
        <v>0.15089565165427307</v>
      </c>
      <c r="D4">
        <f>w_ML!$A$1+w_ML!$A$2*dmatrix!B4+w_ML!$A$3*dmatrix!C4+w_ML!$A$4*dmatrix!D4+w_ML!$A$5*dmatrix!E4+w_ML!$A$6*dmatrix!F4+w_ML!$A$7*dmatrix!G4+w_ML!$A$8*dmatrix!H4+w_ML!$A$9*dmatrix!I4</f>
        <v>0.34017115254822283</v>
      </c>
      <c r="E4">
        <f>w_ML2!$A$1+w_ML2!$A$2*dmatrix!B4+w_ML2!$A$3*dmatrix!C4+w_ML2!$A$4*dmatrix!D4+w_ML2!$A$5*dmatrix!E4+w_ML2!$A$6*dmatrix!F4+w_ML2!$A$7*dmatrix!G4+w_ML2!$A$8*dmatrix!H4+w_ML2!$A$9*dmatrix!I4</f>
        <v>0.48864386244087382</v>
      </c>
    </row>
    <row r="5" spans="1:5" x14ac:dyDescent="0.15">
      <c r="A5">
        <v>5.3646385669708252E-2</v>
      </c>
      <c r="B5">
        <v>-4.9537925017855831E-2</v>
      </c>
      <c r="C5">
        <f t="shared" si="0"/>
        <v>0.33072356541655629</v>
      </c>
      <c r="D5">
        <f>w_ML!$A$1+w_ML!$A$2*dmatrix!B5+w_ML!$A$3*dmatrix!C5+w_ML!$A$4*dmatrix!D5+w_ML!$A$5*dmatrix!E5+w_ML!$A$6*dmatrix!F5+w_ML!$A$7*dmatrix!G5+w_ML!$A$8*dmatrix!H5+w_ML!$A$9*dmatrix!I5</f>
        <v>0.37202679619819584</v>
      </c>
      <c r="E5">
        <f>w_ML2!$A$1+w_ML2!$A$2*dmatrix!B5+w_ML2!$A$3*dmatrix!C5+w_ML2!$A$4*dmatrix!D5+w_ML2!$A$5*dmatrix!E5+w_ML2!$A$6*dmatrix!F5+w_ML2!$A$7*dmatrix!G5+w_ML2!$A$8*dmatrix!H5+w_ML2!$A$9*dmatrix!I5</f>
        <v>0.60353923645915819</v>
      </c>
    </row>
    <row r="6" spans="1:5" x14ac:dyDescent="0.15">
      <c r="A6">
        <v>5.5556595325469971E-2</v>
      </c>
      <c r="B6">
        <v>0.76631029713929577</v>
      </c>
      <c r="C6">
        <f t="shared" si="0"/>
        <v>0.34202628239326693</v>
      </c>
      <c r="D6">
        <f>w_ML!$A$1+w_ML!$A$2*dmatrix!B6+w_ML!$A$3*dmatrix!C6+w_ML!$A$4*dmatrix!D6+w_ML!$A$5*dmatrix!E6+w_ML!$A$6*dmatrix!F6+w_ML!$A$7*dmatrix!G6+w_ML!$A$8*dmatrix!H6+w_ML!$A$9*dmatrix!I6</f>
        <v>0.38056673750758502</v>
      </c>
      <c r="E6">
        <f>w_ML2!$A$1+w_ML2!$A$2*dmatrix!B6+w_ML2!$A$3*dmatrix!C6+w_ML2!$A$4*dmatrix!D6+w_ML2!$A$5*dmatrix!E6+w_ML2!$A$6*dmatrix!F6+w_ML2!$A$7*dmatrix!G6+w_ML2!$A$8*dmatrix!H6+w_ML2!$A$9*dmatrix!I6</f>
        <v>0.61031047568778396</v>
      </c>
    </row>
    <row r="7" spans="1:5" x14ac:dyDescent="0.15">
      <c r="A7">
        <v>6.5468847751617432E-2</v>
      </c>
      <c r="B7">
        <v>0.45033421912050808</v>
      </c>
      <c r="C7">
        <f t="shared" si="0"/>
        <v>0.39984973765367943</v>
      </c>
      <c r="D7">
        <f>w_ML!$A$1+w_ML!$A$2*dmatrix!B7+w_ML!$A$3*dmatrix!C7+w_ML!$A$4*dmatrix!D7+w_ML!$A$5*dmatrix!E7+w_ML!$A$6*dmatrix!F7+w_ML!$A$7*dmatrix!G7+w_ML!$A$8*dmatrix!H7+w_ML!$A$9*dmatrix!I7</f>
        <v>0.43224922185964909</v>
      </c>
      <c r="E7">
        <f>w_ML2!$A$1+w_ML2!$A$2*dmatrix!B7+w_ML2!$A$3*dmatrix!C7+w_ML2!$A$4*dmatrix!D7+w_ML2!$A$5*dmatrix!E7+w_ML2!$A$6*dmatrix!F7+w_ML2!$A$7*dmatrix!G7+w_ML2!$A$8*dmatrix!H7+w_ML2!$A$9*dmatrix!I7</f>
        <v>0.64414346185094429</v>
      </c>
    </row>
    <row r="8" spans="1:5" x14ac:dyDescent="0.15">
      <c r="A8">
        <v>7.1085751056671143E-2</v>
      </c>
      <c r="B8">
        <v>1.2926743074872193</v>
      </c>
      <c r="C8">
        <f t="shared" si="0"/>
        <v>0.43194204358971433</v>
      </c>
      <c r="D8">
        <f>w_ML!$A$1+w_ML!$A$2*dmatrix!B8+w_ML!$A$3*dmatrix!C8+w_ML!$A$4*dmatrix!D8+w_ML!$A$5*dmatrix!E8+w_ML!$A$6*dmatrix!F8+w_ML!$A$7*dmatrix!G8+w_ML!$A$8*dmatrix!H8+w_ML!$A$9*dmatrix!I8</f>
        <v>0.46569460277780605</v>
      </c>
      <c r="E8">
        <f>w_ML2!$A$1+w_ML2!$A$2*dmatrix!B8+w_ML2!$A$3*dmatrix!C8+w_ML2!$A$4*dmatrix!D8+w_ML2!$A$5*dmatrix!E8+w_ML2!$A$6*dmatrix!F8+w_ML2!$A$7*dmatrix!G8+w_ML2!$A$8*dmatrix!H8+w_ML2!$A$9*dmatrix!I8</f>
        <v>0.66233958698476347</v>
      </c>
    </row>
    <row r="9" spans="1:5" x14ac:dyDescent="0.15">
      <c r="A9">
        <v>7.7021777629852295E-2</v>
      </c>
      <c r="B9">
        <v>0.17042416343155367</v>
      </c>
      <c r="C9">
        <f t="shared" si="0"/>
        <v>0.465272202475773</v>
      </c>
      <c r="D9">
        <f>w_ML!$A$1+w_ML!$A$2*dmatrix!B9+w_ML!$A$3*dmatrix!C9+w_ML!$A$4*dmatrix!D9+w_ML!$A$5*dmatrix!E9+w_ML!$A$6*dmatrix!F9+w_ML!$A$7*dmatrix!G9+w_ML!$A$8*dmatrix!H9+w_ML!$A$9*dmatrix!I9</f>
        <v>0.50316699186864056</v>
      </c>
      <c r="E9">
        <f>w_ML2!$A$1+w_ML2!$A$2*dmatrix!B9+w_ML2!$A$3*dmatrix!C9+w_ML2!$A$4*dmatrix!D9+w_ML2!$A$5*dmatrix!E9+w_ML2!$A$6*dmatrix!F9+w_ML2!$A$7*dmatrix!G9+w_ML2!$A$8*dmatrix!H9+w_ML2!$A$9*dmatrix!I9</f>
        <v>0.68079722123673159</v>
      </c>
    </row>
    <row r="10" spans="1:5" x14ac:dyDescent="0.15">
      <c r="A10">
        <v>8.3163440227508545E-2</v>
      </c>
      <c r="B10">
        <v>0.62775754033050613</v>
      </c>
      <c r="C10">
        <f t="shared" si="0"/>
        <v>0.49907525928061819</v>
      </c>
      <c r="D10">
        <f>w_ML!$A$1+w_ML!$A$2*dmatrix!B10+w_ML!$A$3*dmatrix!C10+w_ML!$A$4*dmatrix!D10+w_ML!$A$5*dmatrix!E10+w_ML!$A$6*dmatrix!F10+w_ML!$A$7*dmatrix!G10+w_ML!$A$8*dmatrix!H10+w_ML!$A$9*dmatrix!I10</f>
        <v>0.54335549570173369</v>
      </c>
      <c r="E10">
        <f>w_ML2!$A$1+w_ML2!$A$2*dmatrix!B10+w_ML2!$A$3*dmatrix!C10+w_ML2!$A$4*dmatrix!D10+w_ML2!$A$5*dmatrix!E10+w_ML2!$A$6*dmatrix!F10+w_ML2!$A$7*dmatrix!G10+w_ML2!$A$8*dmatrix!H10+w_ML2!$A$9*dmatrix!I10</f>
        <v>0.69905450407890657</v>
      </c>
    </row>
    <row r="11" spans="1:5" x14ac:dyDescent="0.15">
      <c r="A11">
        <v>0.11446493864059448</v>
      </c>
      <c r="B11">
        <v>0.45331912728091983</v>
      </c>
      <c r="C11">
        <f t="shared" si="0"/>
        <v>0.65878634224650945</v>
      </c>
      <c r="D11">
        <f>w_ML!$A$1+w_ML!$A$2*dmatrix!B11+w_ML!$A$3*dmatrix!C11+w_ML!$A$4*dmatrix!D11+w_ML!$A$5*dmatrix!E11+w_ML!$A$6*dmatrix!F11+w_ML!$A$7*dmatrix!G11+w_ML!$A$8*dmatrix!H11+w_ML!$A$9*dmatrix!I11</f>
        <v>0.74448569921585162</v>
      </c>
      <c r="E11">
        <f>w_ML2!$A$1+w_ML2!$A$2*dmatrix!B11+w_ML2!$A$3*dmatrix!C11+w_ML2!$A$4*dmatrix!D11+w_ML2!$A$5*dmatrix!E11+w_ML2!$A$6*dmatrix!F11+w_ML2!$A$7*dmatrix!G11+w_ML2!$A$8*dmatrix!H11+w_ML2!$A$9*dmatrix!I11</f>
        <v>0.77867741189417561</v>
      </c>
    </row>
    <row r="12" spans="1:5" x14ac:dyDescent="0.15">
      <c r="A12">
        <v>0.12163835763931274</v>
      </c>
      <c r="B12">
        <v>1.0366417896528877</v>
      </c>
      <c r="C12">
        <f t="shared" si="0"/>
        <v>0.69201478280615547</v>
      </c>
      <c r="D12">
        <f>w_ML!$A$1+w_ML!$A$2*dmatrix!B12+w_ML!$A$3*dmatrix!C12+w_ML!$A$4*dmatrix!D12+w_ML!$A$5*dmatrix!E12+w_ML!$A$6*dmatrix!F12+w_ML!$A$7*dmatrix!G12+w_ML!$A$8*dmatrix!H12+w_ML!$A$9*dmatrix!I12</f>
        <v>0.78512277068898784</v>
      </c>
      <c r="E12">
        <f>w_ML2!$A$1+w_ML2!$A$2*dmatrix!B12+w_ML2!$A$3*dmatrix!C12+w_ML2!$A$4*dmatrix!D12+w_ML2!$A$5*dmatrix!E12+w_ML2!$A$6*dmatrix!F12+w_ML2!$A$7*dmatrix!G12+w_ML2!$A$8*dmatrix!H12+w_ML2!$A$9*dmatrix!I12</f>
        <v>0.79372797038673382</v>
      </c>
    </row>
    <row r="13" spans="1:5" x14ac:dyDescent="0.15">
      <c r="A13">
        <v>0.14504307508468628</v>
      </c>
      <c r="B13">
        <v>0.90200350595068224</v>
      </c>
      <c r="C13">
        <f t="shared" si="0"/>
        <v>0.79032086595526752</v>
      </c>
      <c r="D13">
        <f>w_ML!$A$1+w_ML!$A$2*dmatrix!B13+w_ML!$A$3*dmatrix!C13+w_ML!$A$4*dmatrix!D13+w_ML!$A$5*dmatrix!E13+w_ML!$A$6*dmatrix!F13+w_ML!$A$7*dmatrix!G13+w_ML!$A$8*dmatrix!H13+w_ML!$A$9*dmatrix!I13</f>
        <v>0.8938392219397393</v>
      </c>
      <c r="E13">
        <f>w_ML2!$A$1+w_ML2!$A$2*dmatrix!B13+w_ML2!$A$3*dmatrix!C13+w_ML2!$A$4*dmatrix!D13+w_ML2!$A$5*dmatrix!E13+w_ML2!$A$6*dmatrix!F13+w_ML2!$A$7*dmatrix!G13+w_ML2!$A$8*dmatrix!H13+w_ML2!$A$9*dmatrix!I13</f>
        <v>0.83443694689484538</v>
      </c>
    </row>
    <row r="14" spans="1:5" x14ac:dyDescent="0.15">
      <c r="A14">
        <v>0.15510958433151245</v>
      </c>
      <c r="B14">
        <v>0.99387319214516534</v>
      </c>
      <c r="C14">
        <f t="shared" si="0"/>
        <v>0.82746739432726613</v>
      </c>
      <c r="D14">
        <f>w_ML!$A$1+w_ML!$A$2*dmatrix!B14+w_ML!$A$3*dmatrix!C14+w_ML!$A$4*dmatrix!D14+w_ML!$A$5*dmatrix!E14+w_ML!$A$6*dmatrix!F14+w_ML!$A$7*dmatrix!G14+w_ML!$A$8*dmatrix!H14+w_ML!$A$9*dmatrix!I14</f>
        <v>0.92807617344468674</v>
      </c>
      <c r="E14">
        <f>w_ML2!$A$1+w_ML2!$A$2*dmatrix!B14+w_ML2!$A$3*dmatrix!C14+w_ML2!$A$4*dmatrix!D14+w_ML2!$A$5*dmatrix!E14+w_ML2!$A$6*dmatrix!F14+w_ML2!$A$7*dmatrix!G14+w_ML2!$A$8*dmatrix!H14+w_ML2!$A$9*dmatrix!I14</f>
        <v>0.84796662781094689</v>
      </c>
    </row>
    <row r="15" spans="1:5" x14ac:dyDescent="0.15">
      <c r="A15">
        <v>0.1586335301399231</v>
      </c>
      <c r="B15">
        <v>0.44132028306279231</v>
      </c>
      <c r="C15">
        <f t="shared" si="0"/>
        <v>0.8396963693391194</v>
      </c>
      <c r="D15">
        <f>w_ML!$A$1+w_ML!$A$2*dmatrix!B15+w_ML!$A$3*dmatrix!C15+w_ML!$A$4*dmatrix!D15+w_ML!$A$5*dmatrix!E15+w_ML!$A$6*dmatrix!F15+w_ML!$A$7*dmatrix!G15+w_ML!$A$8*dmatrix!H15+w_ML!$A$9*dmatrix!I15</f>
        <v>0.93821875306883395</v>
      </c>
      <c r="E15">
        <f>w_ML2!$A$1+w_ML2!$A$2*dmatrix!B15+w_ML2!$A$3*dmatrix!C15+w_ML2!$A$4*dmatrix!D15+w_ML2!$A$5*dmatrix!E15+w_ML2!$A$6*dmatrix!F15+w_ML2!$A$7*dmatrix!G15+w_ML2!$A$8*dmatrix!H15+w_ML2!$A$9*dmatrix!I15</f>
        <v>0.85213443871014616</v>
      </c>
    </row>
    <row r="16" spans="1:5" x14ac:dyDescent="0.15">
      <c r="A16">
        <v>0.16517812013626099</v>
      </c>
      <c r="B16">
        <v>0.70661965337355293</v>
      </c>
      <c r="C16">
        <f t="shared" si="0"/>
        <v>0.86131118755426805</v>
      </c>
      <c r="D16">
        <f>w_ML!$A$1+w_ML!$A$2*dmatrix!B16+w_ML!$A$3*dmatrix!C16+w_ML!$A$4*dmatrix!D16+w_ML!$A$5*dmatrix!E16+w_ML!$A$6*dmatrix!F16+w_ML!$A$7*dmatrix!G16+w_ML!$A$8*dmatrix!H16+w_ML!$A$9*dmatrix!I16</f>
        <v>0.95453523635427395</v>
      </c>
      <c r="E16">
        <f>w_ML2!$A$1+w_ML2!$A$2*dmatrix!B16+w_ML2!$A$3*dmatrix!C16+w_ML2!$A$4*dmatrix!D16+w_ML2!$A$5*dmatrix!E16+w_ML2!$A$6*dmatrix!F16+w_ML2!$A$7*dmatrix!G16+w_ML2!$A$8*dmatrix!H16+w_ML2!$A$9*dmatrix!I16</f>
        <v>0.85909097535074264</v>
      </c>
    </row>
    <row r="17" spans="1:5" x14ac:dyDescent="0.15">
      <c r="A17">
        <v>0.17063933610916138</v>
      </c>
      <c r="B17">
        <v>1.0688927946295566</v>
      </c>
      <c r="C17">
        <f t="shared" si="0"/>
        <v>0.87823484134853291</v>
      </c>
      <c r="D17">
        <f>w_ML!$A$1+w_ML!$A$2*dmatrix!B17+w_ML!$A$3*dmatrix!C17+w_ML!$A$4*dmatrix!D17+w_ML!$A$5*dmatrix!E17+w_ML!$A$6*dmatrix!F17+w_ML!$A$7*dmatrix!G17+w_ML!$A$8*dmatrix!H17+w_ML!$A$9*dmatrix!I17</f>
        <v>0.96567723730722865</v>
      </c>
      <c r="E17">
        <f>w_ML2!$A$1+w_ML2!$A$2*dmatrix!B17+w_ML2!$A$3*dmatrix!C17+w_ML2!$A$4*dmatrix!D17+w_ML2!$A$5*dmatrix!E17+w_ML2!$A$6*dmatrix!F17+w_ML2!$A$7*dmatrix!G17+w_ML2!$A$8*dmatrix!H17+w_ML2!$A$9*dmatrix!I17</f>
        <v>0.86411496770333385</v>
      </c>
    </row>
    <row r="18" spans="1:5" x14ac:dyDescent="0.15">
      <c r="A18">
        <v>0.17151635885238647</v>
      </c>
      <c r="B18">
        <v>0.89899678103108926</v>
      </c>
      <c r="C18">
        <f t="shared" si="0"/>
        <v>0.88085677656584993</v>
      </c>
      <c r="D18">
        <f>w_ML!$A$1+w_ML!$A$2*dmatrix!B18+w_ML!$A$3*dmatrix!C18+w_ML!$A$4*dmatrix!D18+w_ML!$A$5*dmatrix!E18+w_ML!$A$6*dmatrix!F18+w_ML!$A$7*dmatrix!G18+w_ML!$A$8*dmatrix!H18+w_ML!$A$9*dmatrix!I18</f>
        <v>0.96726011611803808</v>
      </c>
      <c r="E18">
        <f>w_ML2!$A$1+w_ML2!$A$2*dmatrix!B18+w_ML2!$A$3*dmatrix!C18+w_ML2!$A$4*dmatrix!D18+w_ML2!$A$5*dmatrix!E18+w_ML2!$A$6*dmatrix!F18+w_ML2!$A$7*dmatrix!G18+w_ML2!$A$8*dmatrix!H18+w_ML2!$A$9*dmatrix!I18</f>
        <v>0.86485550002028255</v>
      </c>
    </row>
    <row r="19" spans="1:5" x14ac:dyDescent="0.15">
      <c r="A19">
        <v>0.17319387197494507</v>
      </c>
      <c r="B19">
        <v>1.4046375641633277</v>
      </c>
      <c r="C19">
        <f t="shared" si="0"/>
        <v>0.88579727054890511</v>
      </c>
      <c r="D19">
        <f>w_ML!$A$1+w_ML!$A$2*dmatrix!B19+w_ML!$A$3*dmatrix!C19+w_ML!$A$4*dmatrix!D19+w_ML!$A$5*dmatrix!E19+w_ML!$A$6*dmatrix!F19+w_ML!$A$7*dmatrix!G19+w_ML!$A$8*dmatrix!H19+w_ML!$A$9*dmatrix!I19</f>
        <v>0.97013052494465912</v>
      </c>
      <c r="E19">
        <f>w_ML2!$A$1+w_ML2!$A$2*dmatrix!B19+w_ML2!$A$3*dmatrix!C19+w_ML2!$A$4*dmatrix!D19+w_ML2!$A$5*dmatrix!E19+w_ML2!$A$6*dmatrix!F19+w_ML2!$A$7*dmatrix!G19+w_ML2!$A$8*dmatrix!H19+w_ML2!$A$9*dmatrix!I19</f>
        <v>0.86622082428653835</v>
      </c>
    </row>
    <row r="20" spans="1:5" x14ac:dyDescent="0.15">
      <c r="A20">
        <v>0.17387574911117554</v>
      </c>
      <c r="B20">
        <v>1.1071163304359126</v>
      </c>
      <c r="C20">
        <f t="shared" si="0"/>
        <v>0.88777738817375973</v>
      </c>
      <c r="D20">
        <f>w_ML!$A$1+w_ML!$A$2*dmatrix!B20+w_ML!$A$3*dmatrix!C20+w_ML!$A$4*dmatrix!D20+w_ML!$A$5*dmatrix!E20+w_ML!$A$6*dmatrix!F20+w_ML!$A$7*dmatrix!G20+w_ML!$A$8*dmatrix!H20+w_ML!$A$9*dmatrix!I20</f>
        <v>0.97123858486175041</v>
      </c>
      <c r="E20">
        <f>w_ML2!$A$1+w_ML2!$A$2*dmatrix!B20+w_ML2!$A$3*dmatrix!C20+w_ML2!$A$4*dmatrix!D20+w_ML2!$A$5*dmatrix!E20+w_ML2!$A$6*dmatrix!F20+w_ML2!$A$7*dmatrix!G20+w_ML2!$A$8*dmatrix!H20+w_ML2!$A$9*dmatrix!I20</f>
        <v>0.86675660757630546</v>
      </c>
    </row>
    <row r="21" spans="1:5" x14ac:dyDescent="0.15">
      <c r="A21">
        <v>0.17957693338394165</v>
      </c>
      <c r="B21">
        <v>0.19848168007841643</v>
      </c>
      <c r="C21">
        <f t="shared" si="0"/>
        <v>0.90369204797569314</v>
      </c>
      <c r="D21">
        <f>w_ML!$A$1+w_ML!$A$2*dmatrix!B21+w_ML!$A$3*dmatrix!C21+w_ML!$A$4*dmatrix!D21+w_ML!$A$5*dmatrix!E21+w_ML!$A$6*dmatrix!F21+w_ML!$A$7*dmatrix!G21+w_ML!$A$8*dmatrix!H21+w_ML!$A$9*dmatrix!I21</f>
        <v>0.97919462509917621</v>
      </c>
      <c r="E21">
        <f>w_ML2!$A$1+w_ML2!$A$2*dmatrix!B21+w_ML2!$A$3*dmatrix!C21+w_ML2!$A$4*dmatrix!D21+w_ML2!$A$5*dmatrix!E21+w_ML2!$A$6*dmatrix!F21+w_ML2!$A$7*dmatrix!G21+w_ML2!$A$8*dmatrix!H21+w_ML2!$A$9*dmatrix!I21</f>
        <v>0.87080193453376376</v>
      </c>
    </row>
    <row r="22" spans="1:5" x14ac:dyDescent="0.15">
      <c r="A22">
        <v>0.1816677451133728</v>
      </c>
      <c r="B22">
        <v>0.76501440748624039</v>
      </c>
      <c r="C22">
        <f t="shared" si="0"/>
        <v>0.90923892977835297</v>
      </c>
      <c r="D22">
        <f>w_ML!$A$1+w_ML!$A$2*dmatrix!B22+w_ML!$A$3*dmatrix!C22+w_ML!$A$4*dmatrix!D22+w_ML!$A$5*dmatrix!E22+w_ML!$A$6*dmatrix!F22+w_ML!$A$7*dmatrix!G22+w_ML!$A$8*dmatrix!H22+w_ML!$A$9*dmatrix!I22</f>
        <v>0.98153650948625382</v>
      </c>
      <c r="E22">
        <f>w_ML2!$A$1+w_ML2!$A$2*dmatrix!B22+w_ML2!$A$3*dmatrix!C22+w_ML2!$A$4*dmatrix!D22+w_ML2!$A$5*dmatrix!E22+w_ML2!$A$6*dmatrix!F22+w_ML2!$A$7*dmatrix!G22+w_ML2!$A$8*dmatrix!H22+w_ML2!$A$9*dmatrix!I22</f>
        <v>0.87209096115095441</v>
      </c>
    </row>
    <row r="23" spans="1:5" x14ac:dyDescent="0.15">
      <c r="A23">
        <v>0.18621045351028442</v>
      </c>
      <c r="B23">
        <v>0.70200852091945798</v>
      </c>
      <c r="C23">
        <f t="shared" si="0"/>
        <v>0.92074856329290178</v>
      </c>
      <c r="D23">
        <f>w_ML!$A$1+w_ML!$A$2*dmatrix!B23+w_ML!$A$3*dmatrix!C23+w_ML!$A$4*dmatrix!D23+w_ML!$A$5*dmatrix!E23+w_ML!$A$6*dmatrix!F23+w_ML!$A$7*dmatrix!G23+w_ML!$A$8*dmatrix!H23+w_ML!$A$9*dmatrix!I23</f>
        <v>0.98558866209761309</v>
      </c>
      <c r="E23">
        <f>w_ML2!$A$1+w_ML2!$A$2*dmatrix!B23+w_ML2!$A$3*dmatrix!C23+w_ML2!$A$4*dmatrix!D23+w_ML2!$A$5*dmatrix!E23+w_ML2!$A$6*dmatrix!F23+w_ML2!$A$7*dmatrix!G23+w_ML2!$A$8*dmatrix!H23+w_ML2!$A$9*dmatrix!I23</f>
        <v>0.87453167279759159</v>
      </c>
    </row>
    <row r="24" spans="1:5" x14ac:dyDescent="0.15">
      <c r="A24">
        <v>0.19191259145736694</v>
      </c>
      <c r="B24">
        <v>0.88590355492188921</v>
      </c>
      <c r="C24">
        <f t="shared" si="0"/>
        <v>0.93413305870325147</v>
      </c>
      <c r="D24">
        <f>w_ML!$A$1+w_ML!$A$2*dmatrix!B24+w_ML!$A$3*dmatrix!C24+w_ML!$A$4*dmatrix!D24+w_ML!$A$5*dmatrix!E24+w_ML!$A$6*dmatrix!F24+w_ML!$A$7*dmatrix!G24+w_ML!$A$8*dmatrix!H24+w_ML!$A$9*dmatrix!I24</f>
        <v>0.988728575965516</v>
      </c>
      <c r="E24">
        <f>w_ML2!$A$1+w_ML2!$A$2*dmatrix!B24+w_ML2!$A$3*dmatrix!C24+w_ML2!$A$4*dmatrix!D24+w_ML2!$A$5*dmatrix!E24+w_ML2!$A$6*dmatrix!F24+w_ML2!$A$7*dmatrix!G24+w_ML2!$A$8*dmatrix!H24+w_ML2!$A$9*dmatrix!I24</f>
        <v>0.87689736149337427</v>
      </c>
    </row>
    <row r="25" spans="1:5" x14ac:dyDescent="0.15">
      <c r="A25">
        <v>0.2059064507484436</v>
      </c>
      <c r="B25">
        <v>1.1837444089046834</v>
      </c>
      <c r="C25">
        <f t="shared" si="0"/>
        <v>0.96186706773145403</v>
      </c>
      <c r="D25">
        <f>w_ML!$A$1+w_ML!$A$2*dmatrix!B25+w_ML!$A$3*dmatrix!C25+w_ML!$A$4*dmatrix!D25+w_ML!$A$5*dmatrix!E25+w_ML!$A$6*dmatrix!F25+w_ML!$A$7*dmatrix!G25+w_ML!$A$8*dmatrix!H25+w_ML!$A$9*dmatrix!I25</f>
        <v>0.9878855043617909</v>
      </c>
      <c r="E25">
        <f>w_ML2!$A$1+w_ML2!$A$2*dmatrix!B25+w_ML2!$A$3*dmatrix!C25+w_ML2!$A$4*dmatrix!D25+w_ML2!$A$5*dmatrix!E25+w_ML2!$A$6*dmatrix!F25+w_ML2!$A$7*dmatrix!G25+w_ML2!$A$8*dmatrix!H25+w_ML2!$A$9*dmatrix!I25</f>
        <v>0.87941031228368283</v>
      </c>
    </row>
    <row r="26" spans="1:5" x14ac:dyDescent="0.15">
      <c r="A26">
        <v>0.20945066213607788</v>
      </c>
      <c r="B26">
        <v>1.0455462870895715</v>
      </c>
      <c r="C26">
        <f t="shared" si="0"/>
        <v>0.96771901731410703</v>
      </c>
      <c r="D26">
        <f>w_ML!$A$1+w_ML!$A$2*dmatrix!B26+w_ML!$A$3*dmatrix!C26+w_ML!$A$4*dmatrix!D26+w_ML!$A$5*dmatrix!E26+w_ML!$A$6*dmatrix!F26+w_ML!$A$7*dmatrix!G26+w_ML!$A$8*dmatrix!H26+w_ML!$A$9*dmatrix!I26</f>
        <v>0.98589173536819674</v>
      </c>
      <c r="E26">
        <f>w_ML2!$A$1+w_ML2!$A$2*dmatrix!B26+w_ML2!$A$3*dmatrix!C26+w_ML2!$A$4*dmatrix!D26+w_ML2!$A$5*dmatrix!E26+w_ML2!$A$6*dmatrix!F26+w_ML2!$A$7*dmatrix!G26+w_ML2!$A$8*dmatrix!H26+w_ML2!$A$9*dmatrix!I26</f>
        <v>0.87930465283111181</v>
      </c>
    </row>
    <row r="27" spans="1:5" x14ac:dyDescent="0.15">
      <c r="A27">
        <v>0.22782808542251587</v>
      </c>
      <c r="B27">
        <v>0.76632323691698923</v>
      </c>
      <c r="C27">
        <f t="shared" si="0"/>
        <v>0.9903120108090756</v>
      </c>
      <c r="D27">
        <f>w_ML!$A$1+w_ML!$A$2*dmatrix!B27+w_ML!$A$3*dmatrix!C27+w_ML!$A$4*dmatrix!D27+w_ML!$A$5*dmatrix!E27+w_ML!$A$6*dmatrix!F27+w_ML!$A$7*dmatrix!G27+w_ML!$A$8*dmatrix!H27+w_ML!$A$9*dmatrix!I27</f>
        <v>0.96558475331227034</v>
      </c>
      <c r="E27">
        <f>w_ML2!$A$1+w_ML2!$A$2*dmatrix!B27+w_ML2!$A$3*dmatrix!C27+w_ML2!$A$4*dmatrix!D27+w_ML2!$A$5*dmatrix!E27+w_ML2!$A$6*dmatrix!F27+w_ML2!$A$7*dmatrix!G27+w_ML2!$A$8*dmatrix!H27+w_ML2!$A$9*dmatrix!I27</f>
        <v>0.87395826587872305</v>
      </c>
    </row>
    <row r="28" spans="1:5" x14ac:dyDescent="0.15">
      <c r="A28">
        <v>0.22804182767868042</v>
      </c>
      <c r="B28">
        <v>1.853283140507008</v>
      </c>
      <c r="C28">
        <f t="shared" si="0"/>
        <v>0.99049760430263956</v>
      </c>
      <c r="D28">
        <f>w_ML!$A$1+w_ML!$A$2*dmatrix!B28+w_ML!$A$3*dmatrix!C28+w_ML!$A$4*dmatrix!D28+w_ML!$A$5*dmatrix!E28+w_ML!$A$6*dmatrix!F28+w_ML!$A$7*dmatrix!G28+w_ML!$A$8*dmatrix!H28+w_ML!$A$9*dmatrix!I28</f>
        <v>0.96525997039768097</v>
      </c>
      <c r="E28">
        <f>w_ML2!$A$1+w_ML2!$A$2*dmatrix!B28+w_ML2!$A$3*dmatrix!C28+w_ML2!$A$4*dmatrix!D28+w_ML2!$A$5*dmatrix!E28+w_ML2!$A$6*dmatrix!F28+w_ML2!$A$7*dmatrix!G28+w_ML2!$A$8*dmatrix!H28+w_ML2!$A$9*dmatrix!I28</f>
        <v>0.87384885655050015</v>
      </c>
    </row>
    <row r="29" spans="1:5" x14ac:dyDescent="0.15">
      <c r="A29">
        <v>0.2389792799949646</v>
      </c>
      <c r="B29">
        <v>1.6989402328505292</v>
      </c>
      <c r="C29">
        <f t="shared" si="0"/>
        <v>0.99760350714591495</v>
      </c>
      <c r="D29">
        <f>w_ML!$A$1+w_ML!$A$2*dmatrix!B29+w_ML!$A$3*dmatrix!C29+w_ML!$A$4*dmatrix!D29+w_ML!$A$5*dmatrix!E29+w_ML!$A$6*dmatrix!F29+w_ML!$A$7*dmatrix!G29+w_ML!$A$8*dmatrix!H29+w_ML!$A$9*dmatrix!I29</f>
        <v>0.946316439664459</v>
      </c>
      <c r="E29">
        <f>w_ML2!$A$1+w_ML2!$A$2*dmatrix!B29+w_ML2!$A$3*dmatrix!C29+w_ML2!$A$4*dmatrix!D29+w_ML2!$A$5*dmatrix!E29+w_ML2!$A$6*dmatrix!F29+w_ML2!$A$7*dmatrix!G29+w_ML2!$A$8*dmatrix!H29+w_ML2!$A$9*dmatrix!I29</f>
        <v>0.86680635390330951</v>
      </c>
    </row>
    <row r="30" spans="1:5" x14ac:dyDescent="0.15">
      <c r="A30">
        <v>0.24754840135574341</v>
      </c>
      <c r="B30">
        <v>0.84356198080524825</v>
      </c>
      <c r="C30">
        <f t="shared" si="0"/>
        <v>0.99988136307031261</v>
      </c>
      <c r="D30">
        <f>w_ML!$A$1+w_ML!$A$2*dmatrix!B30+w_ML!$A$3*dmatrix!C30+w_ML!$A$4*dmatrix!D30+w_ML!$A$5*dmatrix!E30+w_ML!$A$6*dmatrix!F30+w_ML!$A$7*dmatrix!G30+w_ML!$A$8*dmatrix!H30+w_ML!$A$9*dmatrix!I30</f>
        <v>0.92864031147802906</v>
      </c>
      <c r="E30">
        <f>w_ML2!$A$1+w_ML2!$A$2*dmatrix!B30+w_ML2!$A$3*dmatrix!C30+w_ML2!$A$4*dmatrix!D30+w_ML2!$A$5*dmatrix!E30+w_ML2!$A$6*dmatrix!F30+w_ML2!$A$7*dmatrix!G30+w_ML2!$A$8*dmatrix!H30+w_ML2!$A$9*dmatrix!I30</f>
        <v>0.85931663278948811</v>
      </c>
    </row>
    <row r="31" spans="1:5" x14ac:dyDescent="0.15">
      <c r="A31">
        <v>0.24772590398788452</v>
      </c>
      <c r="B31">
        <v>1.0390325025429508</v>
      </c>
      <c r="C31">
        <f t="shared" si="0"/>
        <v>0.99989792016830059</v>
      </c>
      <c r="D31">
        <f>w_ML!$A$1+w_ML!$A$2*dmatrix!B31+w_ML!$A$3*dmatrix!C31+w_ML!$A$4*dmatrix!D31+w_ML!$A$5*dmatrix!E31+w_ML!$A$6*dmatrix!F31+w_ML!$A$7*dmatrix!G31+w_ML!$A$8*dmatrix!H31+w_ML!$A$9*dmatrix!I31</f>
        <v>0.92825100036754693</v>
      </c>
      <c r="E31">
        <f>w_ML2!$A$1+w_ML2!$A$2*dmatrix!B31+w_ML2!$A$3*dmatrix!C31+w_ML2!$A$4*dmatrix!D31+w_ML2!$A$5*dmatrix!E31+w_ML2!$A$6*dmatrix!F31+w_ML2!$A$7*dmatrix!G31+w_ML2!$A$8*dmatrix!H31+w_ML2!$A$9*dmatrix!I31</f>
        <v>0.85914324117354146</v>
      </c>
    </row>
    <row r="32" spans="1:5" x14ac:dyDescent="0.15">
      <c r="A32">
        <v>0.25755351781845093</v>
      </c>
      <c r="B32">
        <v>0.8986608277805469</v>
      </c>
      <c r="C32">
        <f t="shared" si="0"/>
        <v>0.99887397836205594</v>
      </c>
      <c r="D32">
        <f>w_ML!$A$1+w_ML!$A$2*dmatrix!B32+w_ML!$A$3*dmatrix!C32+w_ML!$A$4*dmatrix!D32+w_ML!$A$5*dmatrix!E32+w_ML!$A$6*dmatrix!F32+w_ML!$A$7*dmatrix!G32+w_ML!$A$8*dmatrix!H32+w_ML!$A$9*dmatrix!I32</f>
        <v>0.90540895819543188</v>
      </c>
      <c r="E32">
        <f>w_ML2!$A$1+w_ML2!$A$2*dmatrix!B32+w_ML2!$A$3*dmatrix!C32+w_ML2!$A$4*dmatrix!D32+w_ML2!$A$5*dmatrix!E32+w_ML2!$A$6*dmatrix!F32+w_ML2!$A$7*dmatrix!G32+w_ML2!$A$8*dmatrix!H32+w_ML2!$A$9*dmatrix!I32</f>
        <v>0.84839242005760718</v>
      </c>
    </row>
    <row r="33" spans="1:5" x14ac:dyDescent="0.15">
      <c r="A33">
        <v>0.26688545942306519</v>
      </c>
      <c r="B33">
        <v>0.4559896906960495</v>
      </c>
      <c r="C33">
        <f t="shared" si="0"/>
        <v>0.99437725877722893</v>
      </c>
      <c r="D33">
        <f>w_ML!$A$1+w_ML!$A$2*dmatrix!B33+w_ML!$A$3*dmatrix!C33+w_ML!$A$4*dmatrix!D33+w_ML!$A$5*dmatrix!E33+w_ML!$A$6*dmatrix!F33+w_ML!$A$7*dmatrix!G33+w_ML!$A$8*dmatrix!H33+w_ML!$A$9*dmatrix!I33</f>
        <v>0.88169736957089273</v>
      </c>
      <c r="E33">
        <f>w_ML2!$A$1+w_ML2!$A$2*dmatrix!B33+w_ML2!$A$3*dmatrix!C33+w_ML2!$A$4*dmatrix!D33+w_ML2!$A$5*dmatrix!E33+w_ML2!$A$6*dmatrix!F33+w_ML2!$A$7*dmatrix!G33+w_ML2!$A$8*dmatrix!H33+w_ML2!$A$9*dmatrix!I33</f>
        <v>0.83610169147881541</v>
      </c>
    </row>
    <row r="34" spans="1:5" x14ac:dyDescent="0.15">
      <c r="A34">
        <v>0.27735358476638794</v>
      </c>
      <c r="B34">
        <v>0.60311125969990342</v>
      </c>
      <c r="C34">
        <f t="shared" ref="C34:C65" si="1">SIN(A34*2*PI())</f>
        <v>0.98526707614705789</v>
      </c>
      <c r="D34">
        <f>w_ML!$A$1+w_ML!$A$2*dmatrix!B34+w_ML!$A$3*dmatrix!C34+w_ML!$A$4*dmatrix!D34+w_ML!$A$5*dmatrix!E34+w_ML!$A$6*dmatrix!F34+w_ML!$A$7*dmatrix!G34+w_ML!$A$8*dmatrix!H34+w_ML!$A$9*dmatrix!I34</f>
        <v>0.85327830882642131</v>
      </c>
      <c r="E34">
        <f>w_ML2!$A$1+w_ML2!$A$2*dmatrix!B34+w_ML2!$A$3*dmatrix!C34+w_ML2!$A$4*dmatrix!D34+w_ML2!$A$5*dmatrix!E34+w_ML2!$A$6*dmatrix!F34+w_ML2!$A$7*dmatrix!G34+w_ML2!$A$8*dmatrix!H34+w_ML2!$A$9*dmatrix!I34</f>
        <v>0.81992196614467117</v>
      </c>
    </row>
    <row r="35" spans="1:5" x14ac:dyDescent="0.15">
      <c r="A35">
        <v>0.28188914060592651</v>
      </c>
      <c r="B35">
        <v>0.86249683871679494</v>
      </c>
      <c r="C35">
        <f t="shared" si="1"/>
        <v>0.97999392267905405</v>
      </c>
      <c r="D35">
        <f>w_ML!$A$1+w_ML!$A$2*dmatrix!B35+w_ML!$A$3*dmatrix!C35+w_ML!$A$4*dmatrix!D35+w_ML!$A$5*dmatrix!E35+w_ML!$A$6*dmatrix!F35+w_ML!$A$7*dmatrix!G35+w_ML!$A$8*dmatrix!H35+w_ML!$A$9*dmatrix!I35</f>
        <v>0.84049354817139921</v>
      </c>
      <c r="E35">
        <f>w_ML2!$A$1+w_ML2!$A$2*dmatrix!B35+w_ML2!$A$3*dmatrix!C35+w_ML2!$A$4*dmatrix!D35+w_ML2!$A$5*dmatrix!E35+w_ML2!$A$6*dmatrix!F35+w_ML2!$A$7*dmatrix!G35+w_ML2!$A$8*dmatrix!H35+w_ML2!$A$9*dmatrix!I35</f>
        <v>0.8121327116696716</v>
      </c>
    </row>
    <row r="36" spans="1:5" x14ac:dyDescent="0.15">
      <c r="A36">
        <v>0.28612452745437622</v>
      </c>
      <c r="B36">
        <v>0.86309031426540761</v>
      </c>
      <c r="C36">
        <f t="shared" si="1"/>
        <v>0.97435109854084034</v>
      </c>
      <c r="D36">
        <f>w_ML!$A$1+w_ML!$A$2*dmatrix!B36+w_ML!$A$3*dmatrix!C36+w_ML!$A$4*dmatrix!D36+w_ML!$A$5*dmatrix!E36+w_ML!$A$6*dmatrix!F36+w_ML!$A$7*dmatrix!G36+w_ML!$A$8*dmatrix!H36+w_ML!$A$9*dmatrix!I36</f>
        <v>0.828346186061376</v>
      </c>
      <c r="E36">
        <f>w_ML2!$A$1+w_ML2!$A$2*dmatrix!B36+w_ML2!$A$3*dmatrix!C36+w_ML2!$A$4*dmatrix!D36+w_ML2!$A$5*dmatrix!E36+w_ML2!$A$6*dmatrix!F36+w_ML2!$A$7*dmatrix!G36+w_ML2!$A$8*dmatrix!H36+w_ML2!$A$9*dmatrix!I36</f>
        <v>0.8044368018867627</v>
      </c>
    </row>
    <row r="37" spans="1:5" x14ac:dyDescent="0.15">
      <c r="A37">
        <v>0.2961077094078064</v>
      </c>
      <c r="B37">
        <v>0.83012613590041251</v>
      </c>
      <c r="C37">
        <f t="shared" si="1"/>
        <v>0.95832868041576513</v>
      </c>
      <c r="D37">
        <f>w_ML!$A$1+w_ML!$A$2*dmatrix!B37+w_ML!$A$3*dmatrix!C37+w_ML!$A$4*dmatrix!D37+w_ML!$A$5*dmatrix!E37+w_ML!$A$6*dmatrix!F37+w_ML!$A$7*dmatrix!G37+w_ML!$A$8*dmatrix!H37+w_ML!$A$9*dmatrix!I37</f>
        <v>0.79907484699632103</v>
      </c>
      <c r="E37">
        <f>w_ML2!$A$1+w_ML2!$A$2*dmatrix!B37+w_ML2!$A$3*dmatrix!C37+w_ML2!$A$4*dmatrix!D37+w_ML2!$A$5*dmatrix!E37+w_ML2!$A$6*dmatrix!F37+w_ML2!$A$7*dmatrix!G37+w_ML2!$A$8*dmatrix!H37+w_ML2!$A$9*dmatrix!I37</f>
        <v>0.78469649405356434</v>
      </c>
    </row>
    <row r="38" spans="1:5" x14ac:dyDescent="0.15">
      <c r="A38">
        <v>0.29763609170913696</v>
      </c>
      <c r="B38">
        <v>0.93909182361796695</v>
      </c>
      <c r="C38">
        <f t="shared" si="1"/>
        <v>0.95554123462831353</v>
      </c>
      <c r="D38">
        <f>w_ML!$A$1+w_ML!$A$2*dmatrix!B38+w_ML!$A$3*dmatrix!C38+w_ML!$A$4*dmatrix!D38+w_ML!$A$5*dmatrix!E38+w_ML!$A$6*dmatrix!F38+w_ML!$A$7*dmatrix!G38+w_ML!$A$8*dmatrix!H38+w_ML!$A$9*dmatrix!I38</f>
        <v>0.79452915695804571</v>
      </c>
      <c r="E38">
        <f>w_ML2!$A$1+w_ML2!$A$2*dmatrix!B38+w_ML2!$A$3*dmatrix!C38+w_ML2!$A$4*dmatrix!D38+w_ML2!$A$5*dmatrix!E38+w_ML2!$A$6*dmatrix!F38+w_ML2!$A$7*dmatrix!G38+w_ML2!$A$8*dmatrix!H38+w_ML2!$A$9*dmatrix!I38</f>
        <v>0.78147738573717784</v>
      </c>
    </row>
    <row r="39" spans="1:5" x14ac:dyDescent="0.15">
      <c r="A39">
        <v>0.29863458871841431</v>
      </c>
      <c r="B39">
        <v>1.0038756320356288</v>
      </c>
      <c r="C39">
        <f t="shared" si="1"/>
        <v>0.9536725820091484</v>
      </c>
      <c r="D39">
        <f>w_ML!$A$1+w_ML!$A$2*dmatrix!B39+w_ML!$A$3*dmatrix!C39+w_ML!$A$4*dmatrix!D39+w_ML!$A$5*dmatrix!E39+w_ML!$A$6*dmatrix!F39+w_ML!$A$7*dmatrix!G39+w_ML!$A$8*dmatrix!H39+w_ML!$A$9*dmatrix!I39</f>
        <v>0.79155174069199863</v>
      </c>
      <c r="E39">
        <f>w_ML2!$A$1+w_ML2!$A$2*dmatrix!B39+w_ML2!$A$3*dmatrix!C39+w_ML2!$A$4*dmatrix!D39+w_ML2!$A$5*dmatrix!E39+w_ML2!$A$6*dmatrix!F39+w_ML2!$A$7*dmatrix!G39+w_ML2!$A$8*dmatrix!H39+w_ML2!$A$9*dmatrix!I39</f>
        <v>0.77934625713328287</v>
      </c>
    </row>
    <row r="40" spans="1:5" x14ac:dyDescent="0.15">
      <c r="A40">
        <v>0.30439835786819458</v>
      </c>
      <c r="B40">
        <v>1.1128511693343162</v>
      </c>
      <c r="C40">
        <f t="shared" si="1"/>
        <v>0.94215455016803451</v>
      </c>
      <c r="D40">
        <f>w_ML!$A$1+w_ML!$A$2*dmatrix!B40+w_ML!$A$3*dmatrix!C40+w_ML!$A$4*dmatrix!D40+w_ML!$A$5*dmatrix!E40+w_ML!$A$6*dmatrix!F40+w_ML!$A$7*dmatrix!G40+w_ML!$A$8*dmatrix!H40+w_ML!$A$9*dmatrix!I40</f>
        <v>0.77425964776810197</v>
      </c>
      <c r="E40">
        <f>w_ML2!$A$1+w_ML2!$A$2*dmatrix!B40+w_ML2!$A$3*dmatrix!C40+w_ML2!$A$4*dmatrix!D40+w_ML2!$A$5*dmatrix!E40+w_ML2!$A$6*dmatrix!F40+w_ML2!$A$7*dmatrix!G40+w_ML2!$A$8*dmatrix!H40+w_ML2!$A$9*dmatrix!I40</f>
        <v>0.76661256131251687</v>
      </c>
    </row>
    <row r="41" spans="1:5" x14ac:dyDescent="0.15">
      <c r="A41">
        <v>0.32076317071914673</v>
      </c>
      <c r="B41">
        <v>0.21007425002859909</v>
      </c>
      <c r="C41">
        <f t="shared" si="1"/>
        <v>0.90277498517582022</v>
      </c>
      <c r="D41">
        <f>w_ML!$A$1+w_ML!$A$2*dmatrix!B41+w_ML!$A$3*dmatrix!C41+w_ML!$A$4*dmatrix!D41+w_ML!$A$5*dmatrix!E41+w_ML!$A$6*dmatrix!F41+w_ML!$A$7*dmatrix!G41+w_ML!$A$8*dmatrix!H41+w_ML!$A$9*dmatrix!I41</f>
        <v>0.72448363387655346</v>
      </c>
      <c r="E41">
        <f>w_ML2!$A$1+w_ML2!$A$2*dmatrix!B41+w_ML2!$A$3*dmatrix!C41+w_ML2!$A$4*dmatrix!D41+w_ML2!$A$5*dmatrix!E41+w_ML2!$A$6*dmatrix!F41+w_ML2!$A$7*dmatrix!G41+w_ML2!$A$8*dmatrix!H41+w_ML2!$A$9*dmatrix!I41</f>
        <v>0.72649639740929017</v>
      </c>
    </row>
    <row r="42" spans="1:5" x14ac:dyDescent="0.15">
      <c r="A42">
        <v>0.32565110921859741</v>
      </c>
      <c r="B42">
        <v>0.39514330437969963</v>
      </c>
      <c r="C42">
        <f t="shared" si="1"/>
        <v>0.88914177992882271</v>
      </c>
      <c r="D42">
        <f>w_ML!$A$1+w_ML!$A$2*dmatrix!B42+w_ML!$A$3*dmatrix!C42+w_ML!$A$4*dmatrix!D42+w_ML!$A$5*dmatrix!E42+w_ML!$A$6*dmatrix!F42+w_ML!$A$7*dmatrix!G42+w_ML!$A$8*dmatrix!H42+w_ML!$A$9*dmatrix!I42</f>
        <v>0.70949772789234522</v>
      </c>
      <c r="E42">
        <f>w_ML2!$A$1+w_ML2!$A$2*dmatrix!B42+w_ML2!$A$3*dmatrix!C42+w_ML2!$A$4*dmatrix!D42+w_ML2!$A$5*dmatrix!E42+w_ML2!$A$6*dmatrix!F42+w_ML2!$A$7*dmatrix!G42+w_ML2!$A$8*dmatrix!H42+w_ML2!$A$9*dmatrix!I42</f>
        <v>0.7133959858322706</v>
      </c>
    </row>
    <row r="43" spans="1:5" x14ac:dyDescent="0.15">
      <c r="A43">
        <v>0.33718246221542358</v>
      </c>
      <c r="B43">
        <v>1.013619160398062</v>
      </c>
      <c r="C43">
        <f t="shared" si="1"/>
        <v>0.85368092899980386</v>
      </c>
      <c r="D43">
        <f>w_ML!$A$1+w_ML!$A$2*dmatrix!B43+w_ML!$A$3*dmatrix!C43+w_ML!$A$4*dmatrix!D43+w_ML!$A$5*dmatrix!E43+w_ML!$A$6*dmatrix!F43+w_ML!$A$7*dmatrix!G43+w_ML!$A$8*dmatrix!H43+w_ML!$A$9*dmatrix!I43</f>
        <v>0.67402809707297839</v>
      </c>
      <c r="E43">
        <f>w_ML2!$A$1+w_ML2!$A$2*dmatrix!B43+w_ML2!$A$3*dmatrix!C43+w_ML2!$A$4*dmatrix!D43+w_ML2!$A$5*dmatrix!E43+w_ML2!$A$6*dmatrix!F43+w_ML2!$A$7*dmatrix!G43+w_ML2!$A$8*dmatrix!H43+w_ML2!$A$9*dmatrix!I43</f>
        <v>0.68049648215413205</v>
      </c>
    </row>
    <row r="44" spans="1:5" x14ac:dyDescent="0.15">
      <c r="A44">
        <v>0.36816853284835815</v>
      </c>
      <c r="B44">
        <v>1.1663272191948033</v>
      </c>
      <c r="C44">
        <f t="shared" si="1"/>
        <v>0.73679757847652649</v>
      </c>
      <c r="D44">
        <f>w_ML!$A$1+w_ML!$A$2*dmatrix!B44+w_ML!$A$3*dmatrix!C44+w_ML!$A$4*dmatrix!D44+w_ML!$A$5*dmatrix!E44+w_ML!$A$6*dmatrix!F44+w_ML!$A$7*dmatrix!G44+w_ML!$A$8*dmatrix!H44+w_ML!$A$9*dmatrix!I44</f>
        <v>0.57787871744885988</v>
      </c>
      <c r="E44">
        <f>w_ML2!$A$1+w_ML2!$A$2*dmatrix!B44+w_ML2!$A$3*dmatrix!C44+w_ML2!$A$4*dmatrix!D44+w_ML2!$A$5*dmatrix!E44+w_ML2!$A$6*dmatrix!F44+w_ML2!$A$7*dmatrix!G44+w_ML2!$A$8*dmatrix!H44+w_ML2!$A$9*dmatrix!I44</f>
        <v>0.57873659326074156</v>
      </c>
    </row>
    <row r="45" spans="1:5" x14ac:dyDescent="0.15">
      <c r="A45">
        <v>0.37443023920059204</v>
      </c>
      <c r="B45">
        <v>0.96942548002368056</v>
      </c>
      <c r="C45">
        <f t="shared" si="1"/>
        <v>0.70963362525833618</v>
      </c>
      <c r="D45">
        <f>w_ML!$A$1+w_ML!$A$2*dmatrix!B45+w_ML!$A$3*dmatrix!C45+w_ML!$A$4*dmatrix!D45+w_ML!$A$5*dmatrix!E45+w_ML!$A$6*dmatrix!F45+w_ML!$A$7*dmatrix!G45+w_ML!$A$8*dmatrix!H45+w_ML!$A$9*dmatrix!I45</f>
        <v>0.55815463449383418</v>
      </c>
      <c r="E45">
        <f>w_ML2!$A$1+w_ML2!$A$2*dmatrix!B45+w_ML2!$A$3*dmatrix!C45+w_ML2!$A$4*dmatrix!D45+w_ML2!$A$5*dmatrix!E45+w_ML2!$A$6*dmatrix!F45+w_ML2!$A$7*dmatrix!G45+w_ML2!$A$8*dmatrix!H45+w_ML2!$A$9*dmatrix!I45</f>
        <v>0.55591407293155681</v>
      </c>
    </row>
    <row r="46" spans="1:5" x14ac:dyDescent="0.15">
      <c r="A46">
        <v>0.3769952654838562</v>
      </c>
      <c r="B46">
        <v>0.14037988527490119</v>
      </c>
      <c r="C46">
        <f t="shared" si="1"/>
        <v>0.69818671625012751</v>
      </c>
      <c r="D46">
        <f>w_ML!$A$1+w_ML!$A$2*dmatrix!B46+w_ML!$A$3*dmatrix!C46+w_ML!$A$4*dmatrix!D46+w_ML!$A$5*dmatrix!E46+w_ML!$A$6*dmatrix!F46+w_ML!$A$7*dmatrix!G46+w_ML!$A$8*dmatrix!H46+w_ML!$A$9*dmatrix!I46</f>
        <v>0.55002570466157363</v>
      </c>
      <c r="E46">
        <f>w_ML2!$A$1+w_ML2!$A$2*dmatrix!B46+w_ML2!$A$3*dmatrix!C46+w_ML2!$A$4*dmatrix!D46+w_ML2!$A$5*dmatrix!E46+w_ML2!$A$6*dmatrix!F46+w_ML2!$A$7*dmatrix!G46+w_ML2!$A$8*dmatrix!H46+w_ML2!$A$9*dmatrix!I46</f>
        <v>0.54635510778656082</v>
      </c>
    </row>
    <row r="47" spans="1:5" x14ac:dyDescent="0.15">
      <c r="A47">
        <v>0.37964028120040894</v>
      </c>
      <c r="B47">
        <v>0.14197633079024671</v>
      </c>
      <c r="C47">
        <f t="shared" si="1"/>
        <v>0.68619295627412746</v>
      </c>
      <c r="D47">
        <f>w_ML!$A$1+w_ML!$A$2*dmatrix!B47+w_ML!$A$3*dmatrix!C47+w_ML!$A$4*dmatrix!D47+w_ML!$A$5*dmatrix!E47+w_ML!$A$6*dmatrix!F47+w_ML!$A$7*dmatrix!G47+w_ML!$A$8*dmatrix!H47+w_ML!$A$9*dmatrix!I47</f>
        <v>0.54160859431916264</v>
      </c>
      <c r="E47">
        <f>w_ML2!$A$1+w_ML2!$A$2*dmatrix!B47+w_ML2!$A$3*dmatrix!C47+w_ML2!$A$4*dmatrix!D47+w_ML2!$A$5*dmatrix!E47+w_ML2!$A$6*dmatrix!F47+w_ML2!$A$7*dmatrix!G47+w_ML2!$A$8*dmatrix!H47+w_ML2!$A$9*dmatrix!I47</f>
        <v>0.53637197245394586</v>
      </c>
    </row>
    <row r="48" spans="1:5" x14ac:dyDescent="0.15">
      <c r="A48">
        <v>0.38630634546279907</v>
      </c>
      <c r="B48">
        <v>0.6632701071867334</v>
      </c>
      <c r="C48">
        <f t="shared" si="1"/>
        <v>0.65513273819196538</v>
      </c>
      <c r="D48">
        <f>w_ML!$A$1+w_ML!$A$2*dmatrix!B48+w_ML!$A$3*dmatrix!C48+w_ML!$A$4*dmatrix!D48+w_ML!$A$5*dmatrix!E48+w_ML!$A$6*dmatrix!F48+w_ML!$A$7*dmatrix!G48+w_ML!$A$8*dmatrix!H48+w_ML!$A$9*dmatrix!I48</f>
        <v>0.5202154769745222</v>
      </c>
      <c r="E48">
        <f>w_ML2!$A$1+w_ML2!$A$2*dmatrix!B48+w_ML2!$A$3*dmatrix!C48+w_ML2!$A$4*dmatrix!D48+w_ML2!$A$5*dmatrix!E48+w_ML2!$A$6*dmatrix!F48+w_ML2!$A$7*dmatrix!G48+w_ML2!$A$8*dmatrix!H48+w_ML2!$A$9*dmatrix!I48</f>
        <v>0.51065270090494708</v>
      </c>
    </row>
    <row r="49" spans="1:5" x14ac:dyDescent="0.15">
      <c r="A49">
        <v>0.38914555311203003</v>
      </c>
      <c r="B49">
        <v>0.86710907273217852</v>
      </c>
      <c r="C49">
        <f t="shared" si="1"/>
        <v>0.64155139834220065</v>
      </c>
      <c r="D49">
        <f>w_ML!$A$1+w_ML!$A$2*dmatrix!B49+w_ML!$A$3*dmatrix!C49+w_ML!$A$4*dmatrix!D49+w_ML!$A$5*dmatrix!E49+w_ML!$A$6*dmatrix!F49+w_ML!$A$7*dmatrix!G49+w_ML!$A$8*dmatrix!H49+w_ML!$A$9*dmatrix!I49</f>
        <v>0.51101430492403832</v>
      </c>
      <c r="E49">
        <f>w_ML2!$A$1+w_ML2!$A$2*dmatrix!B49+w_ML2!$A$3*dmatrix!C49+w_ML2!$A$4*dmatrix!D49+w_ML2!$A$5*dmatrix!E49+w_ML2!$A$6*dmatrix!F49+w_ML2!$A$7*dmatrix!G49+w_ML2!$A$8*dmatrix!H49+w_ML2!$A$9*dmatrix!I49</f>
        <v>0.49945897671720685</v>
      </c>
    </row>
    <row r="50" spans="1:5" x14ac:dyDescent="0.15">
      <c r="A50">
        <v>0.39173275232315063</v>
      </c>
      <c r="B50">
        <v>6.6232718589162839E-2</v>
      </c>
      <c r="C50">
        <f t="shared" si="1"/>
        <v>0.62899764371286482</v>
      </c>
      <c r="D50">
        <f>w_ML!$A$1+w_ML!$A$2*dmatrix!B50+w_ML!$A$3*dmatrix!C50+w_ML!$A$4*dmatrix!D50+w_ML!$A$5*dmatrix!E50+w_ML!$A$6*dmatrix!F50+w_ML!$A$7*dmatrix!G50+w_ML!$A$8*dmatrix!H50+w_ML!$A$9*dmatrix!I50</f>
        <v>0.50257727232270044</v>
      </c>
      <c r="E50">
        <f>w_ML2!$A$1+w_ML2!$A$2*dmatrix!B50+w_ML2!$A$3*dmatrix!C50+w_ML2!$A$4*dmatrix!D50+w_ML2!$A$5*dmatrix!E50+w_ML2!$A$6*dmatrix!F50+w_ML2!$A$7*dmatrix!G50+w_ML2!$A$8*dmatrix!H50+w_ML2!$A$9*dmatrix!I50</f>
        <v>0.48913632550693265</v>
      </c>
    </row>
    <row r="51" spans="1:5" x14ac:dyDescent="0.15">
      <c r="A51">
        <v>0.40748041868209839</v>
      </c>
      <c r="B51">
        <v>-0.10622271179898141</v>
      </c>
      <c r="C51">
        <f t="shared" si="1"/>
        <v>0.54912564577054812</v>
      </c>
      <c r="D51">
        <f>w_ML!$A$1+w_ML!$A$2*dmatrix!B51+w_ML!$A$3*dmatrix!C51+w_ML!$A$4*dmatrix!D51+w_ML!$A$5*dmatrix!E51+w_ML!$A$6*dmatrix!F51+w_ML!$A$7*dmatrix!G51+w_ML!$A$8*dmatrix!H51+w_ML!$A$9*dmatrix!I51</f>
        <v>0.44991037637948517</v>
      </c>
      <c r="E51">
        <f>w_ML2!$A$1+w_ML2!$A$2*dmatrix!B51+w_ML2!$A$3*dmatrix!C51+w_ML2!$A$4*dmatrix!D51+w_ML2!$A$5*dmatrix!E51+w_ML2!$A$6*dmatrix!F51+w_ML2!$A$7*dmatrix!G51+w_ML2!$A$8*dmatrix!H51+w_ML2!$A$9*dmatrix!I51</f>
        <v>0.42386298627358437</v>
      </c>
    </row>
    <row r="52" spans="1:5" x14ac:dyDescent="0.15">
      <c r="A52">
        <v>0.41315895318984985</v>
      </c>
      <c r="B52">
        <v>0.45883254635210413</v>
      </c>
      <c r="C52">
        <f t="shared" si="1"/>
        <v>0.51896388900808388</v>
      </c>
      <c r="D52">
        <f>w_ML!$A$1+w_ML!$A$2*dmatrix!B52+w_ML!$A$3*dmatrix!C52+w_ML!$A$4*dmatrix!D52+w_ML!$A$5*dmatrix!E52+w_ML!$A$6*dmatrix!F52+w_ML!$A$7*dmatrix!G52+w_ML!$A$8*dmatrix!H52+w_ML!$A$9*dmatrix!I52</f>
        <v>0.43025027494556967</v>
      </c>
      <c r="E52">
        <f>w_ML2!$A$1+w_ML2!$A$2*dmatrix!B52+w_ML2!$A$3*dmatrix!C52+w_ML2!$A$4*dmatrix!D52+w_ML2!$A$5*dmatrix!E52+w_ML2!$A$6*dmatrix!F52+w_ML2!$A$7*dmatrix!G52+w_ML2!$A$8*dmatrix!H52+w_ML2!$A$9*dmatrix!I52</f>
        <v>0.3993352962107164</v>
      </c>
    </row>
    <row r="53" spans="1:5" x14ac:dyDescent="0.15">
      <c r="A53">
        <v>0.41557079553604126</v>
      </c>
      <c r="B53">
        <v>0.21155572943368403</v>
      </c>
      <c r="C53">
        <f t="shared" si="1"/>
        <v>0.50595117126892231</v>
      </c>
      <c r="D53">
        <f>w_ML!$A$1+w_ML!$A$2*dmatrix!B53+w_ML!$A$3*dmatrix!C53+w_ML!$A$4*dmatrix!D53+w_ML!$A$5*dmatrix!E53+w_ML!$A$6*dmatrix!F53+w_ML!$A$7*dmatrix!G53+w_ML!$A$8*dmatrix!H53+w_ML!$A$9*dmatrix!I53</f>
        <v>0.42177392989195672</v>
      </c>
      <c r="E53">
        <f>w_ML2!$A$1+w_ML2!$A$2*dmatrix!B53+w_ML2!$A$3*dmatrix!C53+w_ML2!$A$4*dmatrix!D53+w_ML2!$A$5*dmatrix!E53+w_ML2!$A$6*dmatrix!F53+w_ML2!$A$7*dmatrix!G53+w_ML2!$A$8*dmatrix!H53+w_ML2!$A$9*dmatrix!I53</f>
        <v>0.38876521288194837</v>
      </c>
    </row>
    <row r="54" spans="1:5" x14ac:dyDescent="0.15">
      <c r="A54">
        <v>0.42467325925827026</v>
      </c>
      <c r="B54">
        <v>-0.23507672548633132</v>
      </c>
      <c r="C54">
        <f t="shared" si="1"/>
        <v>0.45581875374409908</v>
      </c>
      <c r="D54">
        <f>w_ML!$A$1+w_ML!$A$2*dmatrix!B54+w_ML!$A$3*dmatrix!C54+w_ML!$A$4*dmatrix!D54+w_ML!$A$5*dmatrix!E54+w_ML!$A$6*dmatrix!F54+w_ML!$A$7*dmatrix!G54+w_ML!$A$8*dmatrix!H54+w_ML!$A$9*dmatrix!I54</f>
        <v>0.38903218639302617</v>
      </c>
      <c r="E54">
        <f>w_ML2!$A$1+w_ML2!$A$2*dmatrix!B54+w_ML2!$A$3*dmatrix!C54+w_ML2!$A$4*dmatrix!D54+w_ML2!$A$5*dmatrix!E54+w_ML2!$A$6*dmatrix!F54+w_ML2!$A$7*dmatrix!G54+w_ML2!$A$8*dmatrix!H54+w_ML2!$A$9*dmatrix!I54</f>
        <v>0.34808019949913566</v>
      </c>
    </row>
    <row r="55" spans="1:5" x14ac:dyDescent="0.15">
      <c r="A55">
        <v>0.43931180238723755</v>
      </c>
      <c r="B55">
        <v>0.66928721660925095</v>
      </c>
      <c r="C55">
        <f t="shared" si="1"/>
        <v>0.37214152015552665</v>
      </c>
      <c r="D55">
        <f>w_ML!$A$1+w_ML!$A$2*dmatrix!B55+w_ML!$A$3*dmatrix!C55+w_ML!$A$4*dmatrix!D55+w_ML!$A$5*dmatrix!E55+w_ML!$A$6*dmatrix!F55+w_ML!$A$7*dmatrix!G55+w_ML!$A$8*dmatrix!H55+w_ML!$A$9*dmatrix!I55</f>
        <v>0.33351738559787458</v>
      </c>
      <c r="E55">
        <f>w_ML2!$A$1+w_ML2!$A$2*dmatrix!B55+w_ML2!$A$3*dmatrix!C55+w_ML2!$A$4*dmatrix!D55+w_ML2!$A$5*dmatrix!E55+w_ML2!$A$6*dmatrix!F55+w_ML2!$A$7*dmatrix!G55+w_ML2!$A$8*dmatrix!H55+w_ML2!$A$9*dmatrix!I55</f>
        <v>0.28015974188128018</v>
      </c>
    </row>
    <row r="56" spans="1:5" x14ac:dyDescent="0.15">
      <c r="A56">
        <v>0.44069105386734009</v>
      </c>
      <c r="B56">
        <v>0.47083167639409373</v>
      </c>
      <c r="C56">
        <f t="shared" si="1"/>
        <v>0.3640839875871193</v>
      </c>
      <c r="D56">
        <f>w_ML!$A$1+w_ML!$A$2*dmatrix!B56+w_ML!$A$3*dmatrix!C56+w_ML!$A$4*dmatrix!D56+w_ML!$A$5*dmatrix!E56+w_ML!$A$6*dmatrix!F56+w_ML!$A$7*dmatrix!G56+w_ML!$A$8*dmatrix!H56+w_ML!$A$9*dmatrix!I56</f>
        <v>0.32808311143090707</v>
      </c>
      <c r="E56">
        <f>w_ML2!$A$1+w_ML2!$A$2*dmatrix!B56+w_ML2!$A$3*dmatrix!C56+w_ML2!$A$4*dmatrix!D56+w_ML2!$A$5*dmatrix!E56+w_ML2!$A$6*dmatrix!F56+w_ML2!$A$7*dmatrix!G56+w_ML2!$A$8*dmatrix!H56+w_ML2!$A$9*dmatrix!I56</f>
        <v>0.2736106372756833</v>
      </c>
    </row>
    <row r="57" spans="1:5" x14ac:dyDescent="0.15">
      <c r="A57">
        <v>0.45374935865402222</v>
      </c>
      <c r="B57">
        <v>0.30440399908359633</v>
      </c>
      <c r="C57">
        <f t="shared" si="1"/>
        <v>0.28652841346764291</v>
      </c>
      <c r="D57">
        <f>w_ML!$A$1+w_ML!$A$2*dmatrix!B57+w_ML!$A$3*dmatrix!C57+w_ML!$A$4*dmatrix!D57+w_ML!$A$5*dmatrix!E57+w_ML!$A$6*dmatrix!F57+w_ML!$A$7*dmatrix!G57+w_ML!$A$8*dmatrix!H57+w_ML!$A$9*dmatrix!I57</f>
        <v>0.27469362532574504</v>
      </c>
      <c r="E57">
        <f>w_ML2!$A$1+w_ML2!$A$2*dmatrix!B57+w_ML2!$A$3*dmatrix!C57+w_ML2!$A$4*dmatrix!D57+w_ML2!$A$5*dmatrix!E57+w_ML2!$A$6*dmatrix!F57+w_ML2!$A$7*dmatrix!G57+w_ML2!$A$8*dmatrix!H57+w_ML2!$A$9*dmatrix!I57</f>
        <v>0.21042030457344099</v>
      </c>
    </row>
    <row r="58" spans="1:5" x14ac:dyDescent="0.15">
      <c r="A58">
        <v>0.46926742792129517</v>
      </c>
      <c r="B58">
        <v>0.32809588146886071</v>
      </c>
      <c r="C58">
        <f t="shared" si="1"/>
        <v>0.19190066999469788</v>
      </c>
      <c r="D58">
        <f>w_ML!$A$1+w_ML!$A$2*dmatrix!B58+w_ML!$A$3*dmatrix!C58+w_ML!$A$4*dmatrix!D58+w_ML!$A$5*dmatrix!E58+w_ML!$A$6*dmatrix!F58+w_ML!$A$7*dmatrix!G58+w_ML!$A$8*dmatrix!H58+w_ML!$A$9*dmatrix!I58</f>
        <v>0.20625592043933327</v>
      </c>
      <c r="E58">
        <f>w_ML2!$A$1+w_ML2!$A$2*dmatrix!B58+w_ML2!$A$3*dmatrix!C58+w_ML2!$A$4*dmatrix!D58+w_ML2!$A$5*dmatrix!E58+w_ML2!$A$6*dmatrix!F58+w_ML2!$A$7*dmatrix!G58+w_ML2!$A$8*dmatrix!H58+w_ML2!$A$9*dmatrix!I58</f>
        <v>0.13277267004429591</v>
      </c>
    </row>
    <row r="59" spans="1:5" x14ac:dyDescent="0.15">
      <c r="A59">
        <v>0.47840303182601929</v>
      </c>
      <c r="B59">
        <v>0.14092573746956802</v>
      </c>
      <c r="C59">
        <f t="shared" si="1"/>
        <v>0.13528168267389606</v>
      </c>
      <c r="D59">
        <f>w_ML!$A$1+w_ML!$A$2*dmatrix!B59+w_ML!$A$3*dmatrix!C59+w_ML!$A$4*dmatrix!D59+w_ML!$A$5*dmatrix!E59+w_ML!$A$6*dmatrix!F59+w_ML!$A$7*dmatrix!G59+w_ML!$A$8*dmatrix!H59+w_ML!$A$9*dmatrix!I59</f>
        <v>0.16320031503615162</v>
      </c>
      <c r="E59">
        <f>w_ML2!$A$1+w_ML2!$A$2*dmatrix!B59+w_ML2!$A$3*dmatrix!C59+w_ML2!$A$4*dmatrix!D59+w_ML2!$A$5*dmatrix!E59+w_ML2!$A$6*dmatrix!F59+w_ML2!$A$7*dmatrix!G59+w_ML2!$A$8*dmatrix!H59+w_ML2!$A$9*dmatrix!I59</f>
        <v>8.5921086884409567E-2</v>
      </c>
    </row>
    <row r="60" spans="1:5" x14ac:dyDescent="0.15">
      <c r="A60">
        <v>0.48205059766769409</v>
      </c>
      <c r="B60">
        <v>0.52863929249588615</v>
      </c>
      <c r="C60">
        <f t="shared" si="1"/>
        <v>0.11254049571055644</v>
      </c>
      <c r="D60">
        <f>w_ML!$A$1+w_ML!$A$2*dmatrix!B60+w_ML!$A$3*dmatrix!C60+w_ML!$A$4*dmatrix!D60+w_ML!$A$5*dmatrix!E60+w_ML!$A$6*dmatrix!F60+w_ML!$A$7*dmatrix!G60+w_ML!$A$8*dmatrix!H60+w_ML!$A$9*dmatrix!I60</f>
        <v>0.14540952436401966</v>
      </c>
      <c r="E60">
        <f>w_ML2!$A$1+w_ML2!$A$2*dmatrix!B60+w_ML2!$A$3*dmatrix!C60+w_ML2!$A$4*dmatrix!D60+w_ML2!$A$5*dmatrix!E60+w_ML2!$A$6*dmatrix!F60+w_ML2!$A$7*dmatrix!G60+w_ML2!$A$8*dmatrix!H60+w_ML2!$A$9*dmatrix!I60</f>
        <v>6.700445147679869E-2</v>
      </c>
    </row>
    <row r="61" spans="1:5" x14ac:dyDescent="0.15">
      <c r="A61">
        <v>0.4887731671333313</v>
      </c>
      <c r="B61">
        <v>-0.35054200841555005</v>
      </c>
      <c r="C61">
        <f t="shared" si="1"/>
        <v>7.048178529309948E-2</v>
      </c>
      <c r="D61">
        <f>w_ML!$A$1+w_ML!$A$2*dmatrix!B61+w_ML!$A$3*dmatrix!C61+w_ML!$A$4*dmatrix!D61+w_ML!$A$5*dmatrix!E61+w_ML!$A$6*dmatrix!F61+w_ML!$A$7*dmatrix!G61+w_ML!$A$8*dmatrix!H61+w_ML!$A$9*dmatrix!I61</f>
        <v>0.111703702173366</v>
      </c>
      <c r="E61">
        <f>w_ML2!$A$1+w_ML2!$A$2*dmatrix!B61+w_ML2!$A$3*dmatrix!C61+w_ML2!$A$4*dmatrix!D61+w_ML2!$A$5*dmatrix!E61+w_ML2!$A$6*dmatrix!F61+w_ML2!$A$7*dmatrix!G61+w_ML2!$A$8*dmatrix!H61+w_ML2!$A$9*dmatrix!I61</f>
        <v>3.1853852848045955E-2</v>
      </c>
    </row>
    <row r="62" spans="1:5" x14ac:dyDescent="0.15">
      <c r="A62">
        <v>0.50103539228439331</v>
      </c>
      <c r="B62">
        <v>0.22513279050305338</v>
      </c>
      <c r="C62">
        <f t="shared" si="1"/>
        <v>-6.5055157001415835E-3</v>
      </c>
      <c r="D62">
        <f>w_ML!$A$1+w_ML!$A$2*dmatrix!B62+w_ML!$A$3*dmatrix!C62+w_ML!$A$4*dmatrix!D62+w_ML!$A$5*dmatrix!E62+w_ML!$A$6*dmatrix!F62+w_ML!$A$7*dmatrix!G62+w_ML!$A$8*dmatrix!H62+w_ML!$A$9*dmatrix!I62</f>
        <v>4.7117691994479571E-2</v>
      </c>
      <c r="E62">
        <f>w_ML2!$A$1+w_ML2!$A$2*dmatrix!B62+w_ML2!$A$3*dmatrix!C62+w_ML2!$A$4*dmatrix!D62+w_ML2!$A$5*dmatrix!E62+w_ML2!$A$6*dmatrix!F62+w_ML2!$A$7*dmatrix!G62+w_ML2!$A$8*dmatrix!H62+w_ML2!$A$9*dmatrix!I62</f>
        <v>-3.3108475952992343E-2</v>
      </c>
    </row>
    <row r="63" spans="1:5" x14ac:dyDescent="0.15">
      <c r="A63">
        <v>0.52555698156356812</v>
      </c>
      <c r="B63">
        <v>-0.2858970933048276</v>
      </c>
      <c r="C63">
        <f t="shared" si="1"/>
        <v>-0.15989003230058357</v>
      </c>
      <c r="D63">
        <f>w_ML!$A$1+w_ML!$A$2*dmatrix!B63+w_ML!$A$3*dmatrix!C63+w_ML!$A$4*dmatrix!D63+w_ML!$A$5*dmatrix!E63+w_ML!$A$6*dmatrix!F63+w_ML!$A$7*dmatrix!G63+w_ML!$A$8*dmatrix!H63+w_ML!$A$9*dmatrix!I63</f>
        <v>-9.3993591287748757E-2</v>
      </c>
      <c r="E63">
        <f>w_ML2!$A$1+w_ML2!$A$2*dmatrix!B63+w_ML2!$A$3*dmatrix!C63+w_ML2!$A$4*dmatrix!D63+w_ML2!$A$5*dmatrix!E63+w_ML2!$A$6*dmatrix!F63+w_ML2!$A$7*dmatrix!G63+w_ML2!$A$8*dmatrix!H63+w_ML2!$A$9*dmatrix!I63</f>
        <v>-0.16542563608025029</v>
      </c>
    </row>
    <row r="64" spans="1:5" x14ac:dyDescent="0.15">
      <c r="A64">
        <v>0.53212743997573853</v>
      </c>
      <c r="B64">
        <v>0.39136137184352421</v>
      </c>
      <c r="C64">
        <f t="shared" si="1"/>
        <v>-0.20049451474654062</v>
      </c>
      <c r="D64">
        <f>w_ML!$A$1+w_ML!$A$2*dmatrix!B64+w_ML!$A$3*dmatrix!C64+w_ML!$A$4*dmatrix!D64+w_ML!$A$5*dmatrix!E64+w_ML!$A$6*dmatrix!F64+w_ML!$A$7*dmatrix!G64+w_ML!$A$8*dmatrix!H64+w_ML!$A$9*dmatrix!I64</f>
        <v>-0.13439097550396006</v>
      </c>
      <c r="E64">
        <f>w_ML2!$A$1+w_ML2!$A$2*dmatrix!B64+w_ML2!$A$3*dmatrix!C64+w_ML2!$A$4*dmatrix!D64+w_ML2!$A$5*dmatrix!E64+w_ML2!$A$6*dmatrix!F64+w_ML2!$A$7*dmatrix!G64+w_ML2!$A$8*dmatrix!H64+w_ML2!$A$9*dmatrix!I64</f>
        <v>-0.20121747983631438</v>
      </c>
    </row>
    <row r="65" spans="1:5" x14ac:dyDescent="0.15">
      <c r="A65">
        <v>0.54058939218521118</v>
      </c>
      <c r="B65">
        <v>-0.22890654960665305</v>
      </c>
      <c r="C65">
        <f t="shared" si="1"/>
        <v>-0.25227508927021119</v>
      </c>
      <c r="D65">
        <f>w_ML!$A$1+w_ML!$A$2*dmatrix!B65+w_ML!$A$3*dmatrix!C65+w_ML!$A$4*dmatrix!D65+w_ML!$A$5*dmatrix!E65+w_ML!$A$6*dmatrix!F65+w_ML!$A$7*dmatrix!G65+w_ML!$A$8*dmatrix!H65+w_ML!$A$9*dmatrix!I65</f>
        <v>-0.18789717200229283</v>
      </c>
      <c r="E65">
        <f>w_ML2!$A$1+w_ML2!$A$2*dmatrix!B65+w_ML2!$A$3*dmatrix!C65+w_ML2!$A$4*dmatrix!D65+w_ML2!$A$5*dmatrix!E65+w_ML2!$A$6*dmatrix!F65+w_ML2!$A$7*dmatrix!G65+w_ML2!$A$8*dmatrix!H65+w_ML2!$A$9*dmatrix!I65</f>
        <v>-0.2473994743243485</v>
      </c>
    </row>
    <row r="66" spans="1:5" x14ac:dyDescent="0.15">
      <c r="A66">
        <v>0.5809670090675354</v>
      </c>
      <c r="B66">
        <v>-0.238042440361215</v>
      </c>
      <c r="C66">
        <f t="shared" ref="C66:C101" si="2">SIN(A66*2*PI())</f>
        <v>-0.48706909830660489</v>
      </c>
      <c r="D66">
        <f>w_ML!$A$1+w_ML!$A$2*dmatrix!B66+w_ML!$A$3*dmatrix!C66+w_ML!$A$4*dmatrix!D66+w_ML!$A$5*dmatrix!E66+w_ML!$A$6*dmatrix!F66+w_ML!$A$7*dmatrix!G66+w_ML!$A$8*dmatrix!H66+w_ML!$A$9*dmatrix!I66</f>
        <v>-0.46111024996463712</v>
      </c>
      <c r="E66">
        <f>w_ML2!$A$1+w_ML2!$A$2*dmatrix!B66+w_ML2!$A$3*dmatrix!C66+w_ML2!$A$4*dmatrix!D66+w_ML2!$A$5*dmatrix!E66+w_ML2!$A$6*dmatrix!F66+w_ML2!$A$7*dmatrix!G66+w_ML2!$A$8*dmatrix!H66+w_ML2!$A$9*dmatrix!I66</f>
        <v>-0.46620239102422856</v>
      </c>
    </row>
    <row r="67" spans="1:5" x14ac:dyDescent="0.15">
      <c r="A67">
        <v>0.58969837427139282</v>
      </c>
      <c r="B67">
        <v>-1.2066452615817336</v>
      </c>
      <c r="C67">
        <f t="shared" si="2"/>
        <v>-0.53422568843354201</v>
      </c>
      <c r="D67">
        <f>w_ML!$A$1+w_ML!$A$2*dmatrix!B67+w_ML!$A$3*dmatrix!C67+w_ML!$A$4*dmatrix!D67+w_ML!$A$5*dmatrix!E67+w_ML!$A$6*dmatrix!F67+w_ML!$A$7*dmatrix!G67+w_ML!$A$8*dmatrix!H67+w_ML!$A$9*dmatrix!I67</f>
        <v>-0.5225612814487306</v>
      </c>
      <c r="E67">
        <f>w_ML2!$A$1+w_ML2!$A$2*dmatrix!B67+w_ML2!$A$3*dmatrix!C67+w_ML2!$A$4*dmatrix!D67+w_ML2!$A$5*dmatrix!E67+w_ML2!$A$6*dmatrix!F67+w_ML2!$A$7*dmatrix!G67+w_ML2!$A$8*dmatrix!H67+w_ML2!$A$9*dmatrix!I67</f>
        <v>-0.51248405510656192</v>
      </c>
    </row>
    <row r="68" spans="1:5" x14ac:dyDescent="0.15">
      <c r="A68">
        <v>0.61758571863174438</v>
      </c>
      <c r="B68">
        <v>-0.62253446049114392</v>
      </c>
      <c r="C68">
        <f t="shared" si="2"/>
        <v>-0.67341077086656087</v>
      </c>
      <c r="D68">
        <f>w_ML!$A$1+w_ML!$A$2*dmatrix!B68+w_ML!$A$3*dmatrix!C68+w_ML!$A$4*dmatrix!D68+w_ML!$A$5*dmatrix!E68+w_ML!$A$6*dmatrix!F68+w_ML!$A$7*dmatrix!G68+w_ML!$A$8*dmatrix!H68+w_ML!$A$9*dmatrix!I68</f>
        <v>-0.71814313116933448</v>
      </c>
      <c r="E68">
        <f>w_ML2!$A$1+w_ML2!$A$2*dmatrix!B68+w_ML2!$A$3*dmatrix!C68+w_ML2!$A$4*dmatrix!D68+w_ML2!$A$5*dmatrix!E68+w_ML2!$A$6*dmatrix!F68+w_ML2!$A$7*dmatrix!G68+w_ML2!$A$8*dmatrix!H68+w_ML2!$A$9*dmatrix!I68</f>
        <v>-0.65548045667281973</v>
      </c>
    </row>
    <row r="69" spans="1:5" x14ac:dyDescent="0.15">
      <c r="A69">
        <v>0.62008136510848999</v>
      </c>
      <c r="B69">
        <v>-0.86834965689730215</v>
      </c>
      <c r="C69">
        <f t="shared" si="2"/>
        <v>-0.68491968858528318</v>
      </c>
      <c r="D69">
        <f>w_ML!$A$1+w_ML!$A$2*dmatrix!B69+w_ML!$A$3*dmatrix!C69+w_ML!$A$4*dmatrix!D69+w_ML!$A$5*dmatrix!E69+w_ML!$A$6*dmatrix!F69+w_ML!$A$7*dmatrix!G69+w_ML!$A$8*dmatrix!H69+w_ML!$A$9*dmatrix!I69</f>
        <v>-0.73531084436054783</v>
      </c>
      <c r="E69">
        <f>w_ML2!$A$1+w_ML2!$A$2*dmatrix!B69+w_ML2!$A$3*dmatrix!C69+w_ML2!$A$4*dmatrix!D69+w_ML2!$A$5*dmatrix!E69+w_ML2!$A$6*dmatrix!F69+w_ML2!$A$7*dmatrix!G69+w_ML2!$A$8*dmatrix!H69+w_ML2!$A$9*dmatrix!I69</f>
        <v>-0.66782457408357765</v>
      </c>
    </row>
    <row r="70" spans="1:5" x14ac:dyDescent="0.15">
      <c r="A70">
        <v>0.62144607305526733</v>
      </c>
      <c r="B70">
        <v>-0.4040845941861903</v>
      </c>
      <c r="C70">
        <f t="shared" si="2"/>
        <v>-0.69114212764212579</v>
      </c>
      <c r="D70">
        <f>w_ML!$A$1+w_ML!$A$2*dmatrix!B70+w_ML!$A$3*dmatrix!C70+w_ML!$A$4*dmatrix!D70+w_ML!$A$5*dmatrix!E70+w_ML!$A$6*dmatrix!F70+w_ML!$A$7*dmatrix!G70+w_ML!$A$8*dmatrix!H70+w_ML!$A$9*dmatrix!I70</f>
        <v>-0.74465844240249623</v>
      </c>
      <c r="E70">
        <f>w_ML2!$A$1+w_ML2!$A$2*dmatrix!B70+w_ML2!$A$3*dmatrix!C70+w_ML2!$A$4*dmatrix!D70+w_ML2!$A$5*dmatrix!E70+w_ML2!$A$6*dmatrix!F70+w_ML2!$A$7*dmatrix!G70+w_ML2!$A$8*dmatrix!H70+w_ML2!$A$9*dmatrix!I70</f>
        <v>-0.67453784713629905</v>
      </c>
    </row>
    <row r="71" spans="1:5" x14ac:dyDescent="0.15">
      <c r="A71">
        <v>0.6245463490486145</v>
      </c>
      <c r="B71">
        <v>-1.0640484736930034</v>
      </c>
      <c r="C71">
        <f t="shared" si="2"/>
        <v>-0.7050883933567843</v>
      </c>
      <c r="D71">
        <f>w_ML!$A$1+w_ML!$A$2*dmatrix!B71+w_ML!$A$3*dmatrix!C71+w_ML!$A$4*dmatrix!D71+w_ML!$A$5*dmatrix!E71+w_ML!$A$6*dmatrix!F71+w_ML!$A$7*dmatrix!G71+w_ML!$A$8*dmatrix!H71+w_ML!$A$9*dmatrix!I71</f>
        <v>-0.765777671275643</v>
      </c>
      <c r="E71">
        <f>w_ML2!$A$1+w_ML2!$A$2*dmatrix!B71+w_ML2!$A$3*dmatrix!C71+w_ML2!$A$4*dmatrix!D71+w_ML2!$A$5*dmatrix!E71+w_ML2!$A$6*dmatrix!F71+w_ML2!$A$7*dmatrix!G71+w_ML2!$A$8*dmatrix!H71+w_ML2!$A$9*dmatrix!I71</f>
        <v>-0.6896884716679168</v>
      </c>
    </row>
    <row r="72" spans="1:5" x14ac:dyDescent="0.15">
      <c r="A72">
        <v>0.63275164365768433</v>
      </c>
      <c r="B72">
        <v>-0.44338365745843777</v>
      </c>
      <c r="C72">
        <f t="shared" si="2"/>
        <v>-0.7406942860716681</v>
      </c>
      <c r="D72">
        <f>w_ML!$A$1+w_ML!$A$2*dmatrix!B72+w_ML!$A$3*dmatrix!C72+w_ML!$A$4*dmatrix!D72+w_ML!$A$5*dmatrix!E72+w_ML!$A$6*dmatrix!F72+w_ML!$A$7*dmatrix!G72+w_ML!$A$8*dmatrix!H72+w_ML!$A$9*dmatrix!I72</f>
        <v>-0.82076712070416136</v>
      </c>
      <c r="E72">
        <f>w_ML2!$A$1+w_ML2!$A$2*dmatrix!B72+w_ML2!$A$3*dmatrix!C72+w_ML2!$A$4*dmatrix!D72+w_ML2!$A$5*dmatrix!E72+w_ML2!$A$6*dmatrix!F72+w_ML2!$A$7*dmatrix!G72+w_ML2!$A$8*dmatrix!H72+w_ML2!$A$9*dmatrix!I72</f>
        <v>-0.72907502826570281</v>
      </c>
    </row>
    <row r="73" spans="1:5" x14ac:dyDescent="0.15">
      <c r="A73">
        <v>0.64308708906173706</v>
      </c>
      <c r="B73">
        <v>-0.65155691385647263</v>
      </c>
      <c r="C73">
        <f t="shared" si="2"/>
        <v>-0.7827314808526521</v>
      </c>
      <c r="D73">
        <f>w_ML!$A$1+w_ML!$A$2*dmatrix!B73+w_ML!$A$3*dmatrix!C73+w_ML!$A$4*dmatrix!D73+w_ML!$A$5*dmatrix!E73+w_ML!$A$6*dmatrix!F73+w_ML!$A$7*dmatrix!G73+w_ML!$A$8*dmatrix!H73+w_ML!$A$9*dmatrix!I73</f>
        <v>-0.88770638829468851</v>
      </c>
      <c r="E73">
        <f>w_ML2!$A$1+w_ML2!$A$2*dmatrix!B73+w_ML2!$A$3*dmatrix!C73+w_ML2!$A$4*dmatrix!D73+w_ML2!$A$5*dmatrix!E73+w_ML2!$A$6*dmatrix!F73+w_ML2!$A$7*dmatrix!G73+w_ML2!$A$8*dmatrix!H73+w_ML2!$A$9*dmatrix!I73</f>
        <v>-0.77707452317519177</v>
      </c>
    </row>
    <row r="74" spans="1:5" x14ac:dyDescent="0.15">
      <c r="A74">
        <v>0.64815360307693481</v>
      </c>
      <c r="B74">
        <v>-0.59924505772965631</v>
      </c>
      <c r="C74">
        <f t="shared" si="2"/>
        <v>-0.80214365949358202</v>
      </c>
      <c r="D74">
        <f>w_ML!$A$1+w_ML!$A$2*dmatrix!B74+w_ML!$A$3*dmatrix!C74+w_ML!$A$4*dmatrix!D74+w_ML!$A$5*dmatrix!E74+w_ML!$A$6*dmatrix!F74+w_ML!$A$7*dmatrix!G74+w_ML!$A$8*dmatrix!H74+w_ML!$A$9*dmatrix!I74</f>
        <v>-0.91936790908027888</v>
      </c>
      <c r="E74">
        <f>w_ML2!$A$1+w_ML2!$A$2*dmatrix!B74+w_ML2!$A$3*dmatrix!C74+w_ML2!$A$4*dmatrix!D74+w_ML2!$A$5*dmatrix!E74+w_ML2!$A$6*dmatrix!F74+w_ML2!$A$7*dmatrix!G74+w_ML2!$A$8*dmatrix!H74+w_ML2!$A$9*dmatrix!I74</f>
        <v>-0.79988364747993557</v>
      </c>
    </row>
    <row r="75" spans="1:5" x14ac:dyDescent="0.15">
      <c r="A75">
        <v>0.64856415987014771</v>
      </c>
      <c r="B75">
        <v>-1.2716822115522386</v>
      </c>
      <c r="C75">
        <f t="shared" si="2"/>
        <v>-0.80368135092796034</v>
      </c>
      <c r="D75">
        <f>w_ML!$A$1+w_ML!$A$2*dmatrix!B75+w_ML!$A$3*dmatrix!C75+w_ML!$A$4*dmatrix!D75+w_ML!$A$5*dmatrix!E75+w_ML!$A$6*dmatrix!F75+w_ML!$A$7*dmatrix!G75+w_ML!$A$8*dmatrix!H75+w_ML!$A$9*dmatrix!I75</f>
        <v>-0.92189633117885705</v>
      </c>
      <c r="E75">
        <f>w_ML2!$A$1+w_ML2!$A$2*dmatrix!B75+w_ML2!$A$3*dmatrix!C75+w_ML2!$A$4*dmatrix!D75+w_ML2!$A$5*dmatrix!E75+w_ML2!$A$6*dmatrix!F75+w_ML2!$A$7*dmatrix!G75+w_ML2!$A$8*dmatrix!H75+w_ML2!$A$9*dmatrix!I75</f>
        <v>-0.80170992897828142</v>
      </c>
    </row>
    <row r="76" spans="1:5" x14ac:dyDescent="0.15">
      <c r="A76">
        <v>0.65548282861709595</v>
      </c>
      <c r="B76">
        <v>-1.0681203019476793</v>
      </c>
      <c r="C76">
        <f t="shared" si="2"/>
        <v>-0.82878195899127616</v>
      </c>
      <c r="D76">
        <f>w_ML!$A$1+w_ML!$A$2*dmatrix!B76+w_ML!$A$3*dmatrix!C76+w_ML!$A$4*dmatrix!D76+w_ML!$A$5*dmatrix!E76+w_ML!$A$6*dmatrix!F76+w_ML!$A$7*dmatrix!G76+w_ML!$A$8*dmatrix!H76+w_ML!$A$9*dmatrix!I76</f>
        <v>-0.96359471703230781</v>
      </c>
      <c r="E76">
        <f>w_ML2!$A$1+w_ML2!$A$2*dmatrix!B76+w_ML2!$A$3*dmatrix!C76+w_ML2!$A$4*dmatrix!D76+w_ML2!$A$5*dmatrix!E76+w_ML2!$A$6*dmatrix!F76+w_ML2!$A$7*dmatrix!G76+w_ML2!$A$8*dmatrix!H76+w_ML2!$A$9*dmatrix!I76</f>
        <v>-0.83196728034521916</v>
      </c>
    </row>
    <row r="77" spans="1:5" x14ac:dyDescent="0.15">
      <c r="A77">
        <v>0.65580981969833374</v>
      </c>
      <c r="B77">
        <v>-0.64617507216163506</v>
      </c>
      <c r="C77">
        <f t="shared" si="2"/>
        <v>-0.82992987448147348</v>
      </c>
      <c r="D77">
        <f>w_ML!$A$1+w_ML!$A$2*dmatrix!B77+w_ML!$A$3*dmatrix!C77+w_ML!$A$4*dmatrix!D77+w_ML!$A$5*dmatrix!E77+w_ML!$A$6*dmatrix!F77+w_ML!$A$7*dmatrix!G77+w_ML!$A$8*dmatrix!H77+w_ML!$A$9*dmatrix!I77</f>
        <v>-0.96552088464407859</v>
      </c>
      <c r="E77">
        <f>w_ML2!$A$1+w_ML2!$A$2*dmatrix!B77+w_ML2!$A$3*dmatrix!C77+w_ML2!$A$4*dmatrix!D77+w_ML2!$A$5*dmatrix!E77+w_ML2!$A$6*dmatrix!F77+w_ML2!$A$7*dmatrix!G77+w_ML2!$A$8*dmatrix!H77+w_ML2!$A$9*dmatrix!I77</f>
        <v>-0.83337240641299704</v>
      </c>
    </row>
    <row r="78" spans="1:5" x14ac:dyDescent="0.15">
      <c r="A78">
        <v>0.66486150026321411</v>
      </c>
      <c r="B78">
        <v>-0.77060799484561748</v>
      </c>
      <c r="C78">
        <f t="shared" si="2"/>
        <v>-0.8602987233756475</v>
      </c>
      <c r="D78">
        <f>w_ML!$A$1+w_ML!$A$2*dmatrix!B78+w_ML!$A$3*dmatrix!C78+w_ML!$A$4*dmatrix!D78+w_ML!$A$5*dmatrix!E78+w_ML!$A$6*dmatrix!F78+w_ML!$A$7*dmatrix!G78+w_ML!$A$8*dmatrix!H78+w_ML!$A$9*dmatrix!I78</f>
        <v>-1.0170868183321176</v>
      </c>
      <c r="E78">
        <f>w_ML2!$A$1+w_ML2!$A$2*dmatrix!B78+w_ML2!$A$3*dmatrix!C78+w_ML2!$A$4*dmatrix!D78+w_ML2!$A$5*dmatrix!E78+w_ML2!$A$6*dmatrix!F78+w_ML2!$A$7*dmatrix!G78+w_ML2!$A$8*dmatrix!H78+w_ML2!$A$9*dmatrix!I78</f>
        <v>-0.87132635306928852</v>
      </c>
    </row>
    <row r="79" spans="1:5" x14ac:dyDescent="0.15">
      <c r="A79">
        <v>0.68320339918136597</v>
      </c>
      <c r="B79">
        <v>-0.74231706250742191</v>
      </c>
      <c r="C79">
        <f t="shared" si="2"/>
        <v>-0.91321309329651124</v>
      </c>
      <c r="D79">
        <f>w_ML!$A$1+w_ML!$A$2*dmatrix!B79+w_ML!$A$3*dmatrix!C79+w_ML!$A$4*dmatrix!D79+w_ML!$A$5*dmatrix!E79+w_ML!$A$6*dmatrix!F79+w_ML!$A$7*dmatrix!G79+w_ML!$A$8*dmatrix!H79+w_ML!$A$9*dmatrix!I79</f>
        <v>-1.1096477944168441</v>
      </c>
      <c r="E79">
        <f>w_ML2!$A$1+w_ML2!$A$2*dmatrix!B79+w_ML2!$A$3*dmatrix!C79+w_ML2!$A$4*dmatrix!D79+w_ML2!$A$5*dmatrix!E79+w_ML2!$A$6*dmatrix!F79+w_ML2!$A$7*dmatrix!G79+w_ML2!$A$8*dmatrix!H79+w_ML2!$A$9*dmatrix!I79</f>
        <v>-0.9421434400235299</v>
      </c>
    </row>
    <row r="80" spans="1:5" x14ac:dyDescent="0.15">
      <c r="A80">
        <v>0.69225198030471802</v>
      </c>
      <c r="B80">
        <v>-1.3807250028078357</v>
      </c>
      <c r="C80">
        <f t="shared" si="2"/>
        <v>-0.93489205637337824</v>
      </c>
      <c r="D80">
        <f>w_ML!$A$1+w_ML!$A$2*dmatrix!B80+w_ML!$A$3*dmatrix!C80+w_ML!$A$4*dmatrix!D80+w_ML!$A$5*dmatrix!E80+w_ML!$A$6*dmatrix!F80+w_ML!$A$7*dmatrix!G80+w_ML!$A$8*dmatrix!H80+w_ML!$A$9*dmatrix!I80</f>
        <v>-1.1484484114859441</v>
      </c>
      <c r="E80">
        <f>w_ML2!$A$1+w_ML2!$A$2*dmatrix!B80+w_ML2!$A$3*dmatrix!C80+w_ML2!$A$4*dmatrix!D80+w_ML2!$A$5*dmatrix!E80+w_ML2!$A$6*dmatrix!F80+w_ML2!$A$7*dmatrix!G80+w_ML2!$A$8*dmatrix!H80+w_ML2!$A$9*dmatrix!I80</f>
        <v>-0.97373658610712643</v>
      </c>
    </row>
    <row r="81" spans="1:5" x14ac:dyDescent="0.15">
      <c r="A81">
        <v>0.69308358430862427</v>
      </c>
      <c r="B81">
        <v>-1.4346978804496853</v>
      </c>
      <c r="C81">
        <f t="shared" si="2"/>
        <v>-0.93673384969197848</v>
      </c>
      <c r="D81">
        <f>w_ML!$A$1+w_ML!$A$2*dmatrix!B81+w_ML!$A$3*dmatrix!C81+w_ML!$A$4*dmatrix!D81+w_ML!$A$5*dmatrix!E81+w_ML!$A$6*dmatrix!F81+w_ML!$A$7*dmatrix!G81+w_ML!$A$8*dmatrix!H81+w_ML!$A$9*dmatrix!I81</f>
        <v>-1.1517627632707246</v>
      </c>
      <c r="E81">
        <f>w_ML2!$A$1+w_ML2!$A$2*dmatrix!B81+w_ML2!$A$3*dmatrix!C81+w_ML2!$A$4*dmatrix!D81+w_ML2!$A$5*dmatrix!E81+w_ML2!$A$6*dmatrix!F81+w_ML2!$A$7*dmatrix!G81+w_ML2!$A$8*dmatrix!H81+w_ML2!$A$9*dmatrix!I81</f>
        <v>-0.97652048663026925</v>
      </c>
    </row>
    <row r="82" spans="1:5" x14ac:dyDescent="0.15">
      <c r="A82">
        <v>0.72963422536849976</v>
      </c>
      <c r="B82">
        <v>-1.4577389571340587</v>
      </c>
      <c r="C82">
        <f t="shared" si="2"/>
        <v>-0.99182403689253507</v>
      </c>
      <c r="D82">
        <f>w_ML!$A$1+w_ML!$A$2*dmatrix!B82+w_ML!$A$3*dmatrix!C82+w_ML!$A$4*dmatrix!D82+w_ML!$A$5*dmatrix!E82+w_ML!$A$6*dmatrix!F82+w_ML!$A$7*dmatrix!G82+w_ML!$A$8*dmatrix!H82+w_ML!$A$9*dmatrix!I82</f>
        <v>-1.2497561531467341</v>
      </c>
      <c r="E82">
        <f>w_ML2!$A$1+w_ML2!$A$2*dmatrix!B82+w_ML2!$A$3*dmatrix!C82+w_ML2!$A$4*dmatrix!D82+w_ML2!$A$5*dmatrix!E82+w_ML2!$A$6*dmatrix!F82+w_ML2!$A$7*dmatrix!G82+w_ML2!$A$8*dmatrix!H82+w_ML2!$A$9*dmatrix!I82</f>
        <v>-1.0765107621423888</v>
      </c>
    </row>
    <row r="83" spans="1:5" x14ac:dyDescent="0.15">
      <c r="A83">
        <v>0.73003000020980835</v>
      </c>
      <c r="B83">
        <v>-1.3316333431572482</v>
      </c>
      <c r="C83">
        <f t="shared" si="2"/>
        <v>-0.99213830861205943</v>
      </c>
      <c r="D83">
        <f>w_ML!$A$1+w_ML!$A$2*dmatrix!B83+w_ML!$A$3*dmatrix!C83+w_ML!$A$4*dmatrix!D83+w_ML!$A$5*dmatrix!E83+w_ML!$A$6*dmatrix!F83+w_ML!$A$7*dmatrix!G83+w_ML!$A$8*dmatrix!H83+w_ML!$A$9*dmatrix!I83</f>
        <v>-1.2502624128083539</v>
      </c>
      <c r="E83">
        <f>w_ML2!$A$1+w_ML2!$A$2*dmatrix!B83+w_ML2!$A$3*dmatrix!C83+w_ML2!$A$4*dmatrix!D83+w_ML2!$A$5*dmatrix!E83+w_ML2!$A$6*dmatrix!F83+w_ML2!$A$7*dmatrix!G83+w_ML2!$A$8*dmatrix!H83+w_ML2!$A$9*dmatrix!I83</f>
        <v>-1.077332267489467</v>
      </c>
    </row>
    <row r="84" spans="1:5" x14ac:dyDescent="0.15">
      <c r="A84">
        <v>0.73086768388748169</v>
      </c>
      <c r="B84">
        <v>-1.5479384560365601</v>
      </c>
      <c r="C84">
        <f t="shared" si="2"/>
        <v>-0.9927832480481511</v>
      </c>
      <c r="D84">
        <f>w_ML!$A$1+w_ML!$A$2*dmatrix!B84+w_ML!$A$3*dmatrix!C84+w_ML!$A$4*dmatrix!D84+w_ML!$A$5*dmatrix!E84+w_ML!$A$6*dmatrix!F84+w_ML!$A$7*dmatrix!G84+w_ML!$A$8*dmatrix!H84+w_ML!$A$9*dmatrix!I84</f>
        <v>-1.251292021745968</v>
      </c>
      <c r="E84">
        <f>w_ML2!$A$1+w_ML2!$A$2*dmatrix!B84+w_ML2!$A$3*dmatrix!C84+w_ML2!$A$4*dmatrix!D84+w_ML2!$A$5*dmatrix!E84+w_ML2!$A$6*dmatrix!F84+w_ML2!$A$7*dmatrix!G84+w_ML2!$A$8*dmatrix!H84+w_ML2!$A$9*dmatrix!I84</f>
        <v>-1.0790510227077585</v>
      </c>
    </row>
    <row r="85" spans="1:5" x14ac:dyDescent="0.15">
      <c r="A85">
        <v>0.74066585302352905</v>
      </c>
      <c r="B85">
        <v>-1.3054291261837663</v>
      </c>
      <c r="C85">
        <f t="shared" si="2"/>
        <v>-0.99828068867442599</v>
      </c>
      <c r="D85">
        <f>w_ML!$A$1+w_ML!$A$2*dmatrix!B85+w_ML!$A$3*dmatrix!C85+w_ML!$A$4*dmatrix!D85+w_ML!$A$5*dmatrix!E85+w_ML!$A$6*dmatrix!F85+w_ML!$A$7*dmatrix!G85+w_ML!$A$8*dmatrix!H85+w_ML!$A$9*dmatrix!I85</f>
        <v>-1.2590447638791602</v>
      </c>
      <c r="E85">
        <f>w_ML2!$A$1+w_ML2!$A$2*dmatrix!B85+w_ML2!$A$3*dmatrix!C85+w_ML2!$A$4*dmatrix!D85+w_ML2!$A$5*dmatrix!E85+w_ML2!$A$6*dmatrix!F85+w_ML2!$A$7*dmatrix!G85+w_ML2!$A$8*dmatrix!H85+w_ML2!$A$9*dmatrix!I85</f>
        <v>-1.0970897691566273</v>
      </c>
    </row>
    <row r="86" spans="1:5" x14ac:dyDescent="0.15">
      <c r="A86">
        <v>0.74683231115341187</v>
      </c>
      <c r="B86">
        <v>-1.3759940400323132</v>
      </c>
      <c r="C86">
        <f t="shared" si="2"/>
        <v>-0.99980193833060249</v>
      </c>
      <c r="D86">
        <f>w_ML!$A$1+w_ML!$A$2*dmatrix!B86+w_ML!$A$3*dmatrix!C86+w_ML!$A$4*dmatrix!D86+w_ML!$A$5*dmatrix!E86+w_ML!$A$6*dmatrix!F86+w_ML!$A$7*dmatrix!G86+w_ML!$A$8*dmatrix!H86+w_ML!$A$9*dmatrix!I86</f>
        <v>-1.2597924944115277</v>
      </c>
      <c r="E86">
        <f>w_ML2!$A$1+w_ML2!$A$2*dmatrix!B86+w_ML2!$A$3*dmatrix!C86+w_ML2!$A$4*dmatrix!D86+w_ML2!$A$5*dmatrix!E86+w_ML2!$A$6*dmatrix!F86+w_ML2!$A$7*dmatrix!G86+w_ML2!$A$8*dmatrix!H86+w_ML2!$A$9*dmatrix!I86</f>
        <v>-1.1064246769813326</v>
      </c>
    </row>
    <row r="87" spans="1:5" x14ac:dyDescent="0.15">
      <c r="A87">
        <v>0.76620227098464966</v>
      </c>
      <c r="B87">
        <v>-1.8284761810136789</v>
      </c>
      <c r="C87">
        <f t="shared" si="2"/>
        <v>-0.9948226631786935</v>
      </c>
      <c r="D87">
        <f>w_ML!$A$1+w_ML!$A$2*dmatrix!B87+w_ML!$A$3*dmatrix!C87+w_ML!$A$4*dmatrix!D87+w_ML!$A$5*dmatrix!E87+w_ML!$A$6*dmatrix!F87+w_ML!$A$7*dmatrix!G87+w_ML!$A$8*dmatrix!H87+w_ML!$A$9*dmatrix!I87</f>
        <v>-1.2408098394942044</v>
      </c>
      <c r="E87">
        <f>w_ML2!$A$1+w_ML2!$A$2*dmatrix!B87+w_ML2!$A$3*dmatrix!C87+w_ML2!$A$4*dmatrix!D87+w_ML2!$A$5*dmatrix!E87+w_ML2!$A$6*dmatrix!F87+w_ML2!$A$7*dmatrix!G87+w_ML2!$A$8*dmatrix!H87+w_ML2!$A$9*dmatrix!I87</f>
        <v>-1.1248984113158611</v>
      </c>
    </row>
    <row r="88" spans="1:5" x14ac:dyDescent="0.15">
      <c r="A88">
        <v>0.80716830492019653</v>
      </c>
      <c r="B88">
        <v>-0.62405622379663317</v>
      </c>
      <c r="C88">
        <f t="shared" si="2"/>
        <v>-0.93617867626205509</v>
      </c>
      <c r="D88">
        <f>w_ML!$A$1+w_ML!$A$2*dmatrix!B88+w_ML!$A$3*dmatrix!C88+w_ML!$A$4*dmatrix!D88+w_ML!$A$5*dmatrix!E88+w_ML!$A$6*dmatrix!F88+w_ML!$A$7*dmatrix!G88+w_ML!$A$8*dmatrix!H88+w_ML!$A$9*dmatrix!I88</f>
        <v>-1.0944851655567049</v>
      </c>
      <c r="E88">
        <f>w_ML2!$A$1+w_ML2!$A$2*dmatrix!B88+w_ML2!$A$3*dmatrix!C88+w_ML2!$A$4*dmatrix!D88+w_ML2!$A$5*dmatrix!E88+w_ML2!$A$6*dmatrix!F88+w_ML2!$A$7*dmatrix!G88+w_ML2!$A$8*dmatrix!H88+w_ML2!$A$9*dmatrix!I88</f>
        <v>-1.1030421415799454</v>
      </c>
    </row>
    <row r="89" spans="1:5" x14ac:dyDescent="0.15">
      <c r="A89">
        <v>0.84615880250930786</v>
      </c>
      <c r="B89">
        <v>-0.75419268254287752</v>
      </c>
      <c r="C89">
        <f t="shared" si="2"/>
        <v>-0.82296617499277447</v>
      </c>
      <c r="D89">
        <f>w_ML!$A$1+w_ML!$A$2*dmatrix!B89+w_ML!$A$3*dmatrix!C89+w_ML!$A$4*dmatrix!D89+w_ML!$A$5*dmatrix!E89+w_ML!$A$6*dmatrix!F89+w_ML!$A$7*dmatrix!G89+w_ML!$A$8*dmatrix!H89+w_ML!$A$9*dmatrix!I89</f>
        <v>-0.83929831445357195</v>
      </c>
      <c r="E89">
        <f>w_ML2!$A$1+w_ML2!$A$2*dmatrix!B89+w_ML2!$A$3*dmatrix!C89+w_ML2!$A$4*dmatrix!D89+w_ML2!$A$5*dmatrix!E89+w_ML2!$A$6*dmatrix!F89+w_ML2!$A$7*dmatrix!G89+w_ML2!$A$8*dmatrix!H89+w_ML2!$A$9*dmatrix!I89</f>
        <v>-0.99284242768734399</v>
      </c>
    </row>
    <row r="90" spans="1:5" x14ac:dyDescent="0.15">
      <c r="A90">
        <v>0.85963970422744751</v>
      </c>
      <c r="B90">
        <v>-0.50187560120111252</v>
      </c>
      <c r="C90">
        <f t="shared" si="2"/>
        <v>-0.77195427085738089</v>
      </c>
      <c r="D90">
        <f>w_ML!$A$1+w_ML!$A$2*dmatrix!B90+w_ML!$A$3*dmatrix!C90+w_ML!$A$4*dmatrix!D90+w_ML!$A$5*dmatrix!E90+w_ML!$A$6*dmatrix!F90+w_ML!$A$7*dmatrix!G90+w_ML!$A$8*dmatrix!H90+w_ML!$A$9*dmatrix!I90</f>
        <v>-0.7328023624548905</v>
      </c>
      <c r="E90">
        <f>w_ML2!$A$1+w_ML2!$A$2*dmatrix!B90+w_ML2!$A$3*dmatrix!C90+w_ML2!$A$4*dmatrix!D90+w_ML2!$A$5*dmatrix!E90+w_ML2!$A$6*dmatrix!F90+w_ML2!$A$7*dmatrix!G90+w_ML2!$A$8*dmatrix!H90+w_ML2!$A$9*dmatrix!I90</f>
        <v>-0.93184747791475664</v>
      </c>
    </row>
    <row r="91" spans="1:5" x14ac:dyDescent="0.15">
      <c r="A91">
        <v>0.86089402437210083</v>
      </c>
      <c r="B91">
        <v>-6.8223110975249761E-4</v>
      </c>
      <c r="C91">
        <f t="shared" si="2"/>
        <v>-0.76692049010263352</v>
      </c>
      <c r="D91">
        <f>w_ML!$A$1+w_ML!$A$2*dmatrix!B91+w_ML!$A$3*dmatrix!C91+w_ML!$A$4*dmatrix!D91+w_ML!$A$5*dmatrix!E91+w_ML!$A$6*dmatrix!F91+w_ML!$A$7*dmatrix!G91+w_ML!$A$8*dmatrix!H91+w_ML!$A$9*dmatrix!I91</f>
        <v>-0.72258975998283859</v>
      </c>
      <c r="E91">
        <f>w_ML2!$A$1+w_ML2!$A$2*dmatrix!B91+w_ML2!$A$3*dmatrix!C91+w_ML2!$A$4*dmatrix!D91+w_ML2!$A$5*dmatrix!E91+w_ML2!$A$6*dmatrix!F91+w_ML2!$A$7*dmatrix!G91+w_ML2!$A$8*dmatrix!H91+w_ML2!$A$9*dmatrix!I91</f>
        <v>-0.9255363695430443</v>
      </c>
    </row>
    <row r="92" spans="1:5" x14ac:dyDescent="0.15">
      <c r="A92">
        <v>0.86945098638534546</v>
      </c>
      <c r="B92">
        <v>-0.69213151618817914</v>
      </c>
      <c r="C92">
        <f t="shared" si="2"/>
        <v>-0.7313256679859752</v>
      </c>
      <c r="D92">
        <f>w_ML!$A$1+w_ML!$A$2*dmatrix!B92+w_ML!$A$3*dmatrix!C92+w_ML!$A$4*dmatrix!D92+w_ML!$A$5*dmatrix!E92+w_ML!$A$6*dmatrix!F92+w_ML!$A$7*dmatrix!G92+w_ML!$A$8*dmatrix!H92+w_ML!$A$9*dmatrix!I92</f>
        <v>-0.65194461636099277</v>
      </c>
      <c r="E92">
        <f>w_ML2!$A$1+w_ML2!$A$2*dmatrix!B92+w_ML2!$A$3*dmatrix!C92+w_ML2!$A$4*dmatrix!D92+w_ML2!$A$5*dmatrix!E92+w_ML2!$A$6*dmatrix!F92+w_ML2!$A$7*dmatrix!G92+w_ML2!$A$8*dmatrix!H92+w_ML2!$A$9*dmatrix!I92</f>
        <v>-0.87952221264268038</v>
      </c>
    </row>
    <row r="93" spans="1:5" x14ac:dyDescent="0.15">
      <c r="A93">
        <v>0.87774366140365601</v>
      </c>
      <c r="B93">
        <v>-0.72815243103177785</v>
      </c>
      <c r="C93">
        <f t="shared" si="2"/>
        <v>-0.69481255181841584</v>
      </c>
      <c r="D93">
        <f>w_ML!$A$1+w_ML!$A$2*dmatrix!B93+w_ML!$A$3*dmatrix!C93+w_ML!$A$4*dmatrix!D93+w_ML!$A$5*dmatrix!E93+w_ML!$A$6*dmatrix!F93+w_ML!$A$7*dmatrix!G93+w_ML!$A$8*dmatrix!H93+w_ML!$A$9*dmatrix!I93</f>
        <v>-0.58241969057098686</v>
      </c>
      <c r="E93">
        <f>w_ML2!$A$1+w_ML2!$A$2*dmatrix!B93+w_ML2!$A$3*dmatrix!C93+w_ML2!$A$4*dmatrix!D93+w_ML2!$A$5*dmatrix!E93+w_ML2!$A$6*dmatrix!F93+w_ML2!$A$7*dmatrix!G93+w_ML2!$A$8*dmatrix!H93+w_ML2!$A$9*dmatrix!I93</f>
        <v>-0.82991292541932749</v>
      </c>
    </row>
    <row r="94" spans="1:5" x14ac:dyDescent="0.15">
      <c r="A94">
        <v>0.90503507852554321</v>
      </c>
      <c r="B94">
        <v>-0.27555299290814012</v>
      </c>
      <c r="C94">
        <f t="shared" si="2"/>
        <v>-0.5619010716094216</v>
      </c>
      <c r="D94">
        <f>w_ML!$A$1+w_ML!$A$2*dmatrix!B94+w_ML!$A$3*dmatrix!C94+w_ML!$A$4*dmatrix!D94+w_ML!$A$5*dmatrix!E94+w_ML!$A$6*dmatrix!F94+w_ML!$A$7*dmatrix!G94+w_ML!$A$8*dmatrix!H94+w_ML!$A$9*dmatrix!I94</f>
        <v>-0.3564891630907141</v>
      </c>
      <c r="E94">
        <f>w_ML2!$A$1+w_ML2!$A$2*dmatrix!B94+w_ML2!$A$3*dmatrix!C94+w_ML2!$A$4*dmatrix!D94+w_ML2!$A$5*dmatrix!E94+w_ML2!$A$6*dmatrix!F94+w_ML2!$A$7*dmatrix!G94+w_ML2!$A$8*dmatrix!H94+w_ML2!$A$9*dmatrix!I94</f>
        <v>-0.63031854359825856</v>
      </c>
    </row>
    <row r="95" spans="1:5" x14ac:dyDescent="0.15">
      <c r="A95">
        <v>0.91664367914199829</v>
      </c>
      <c r="B95">
        <v>-0.53334297956361443</v>
      </c>
      <c r="C95">
        <f t="shared" si="2"/>
        <v>-0.50012507905709302</v>
      </c>
      <c r="D95">
        <f>w_ML!$A$1+w_ML!$A$2*dmatrix!B95+w_ML!$A$3*dmatrix!C95+w_ML!$A$4*dmatrix!D95+w_ML!$A$5*dmatrix!E95+w_ML!$A$6*dmatrix!F95+w_ML!$A$7*dmatrix!G95+w_ML!$A$8*dmatrix!H95+w_ML!$A$9*dmatrix!I95</f>
        <v>-0.26717574929307375</v>
      </c>
      <c r="E95">
        <f>w_ML2!$A$1+w_ML2!$A$2*dmatrix!B95+w_ML2!$A$3*dmatrix!C95+w_ML2!$A$4*dmatrix!D95+w_ML2!$A$5*dmatrix!E95+w_ML2!$A$6*dmatrix!F95+w_ML2!$A$7*dmatrix!G95+w_ML2!$A$8*dmatrix!H95+w_ML2!$A$9*dmatrix!I95</f>
        <v>-0.52784316899841643</v>
      </c>
    </row>
    <row r="96" spans="1:5" x14ac:dyDescent="0.15">
      <c r="A96">
        <v>0.919444739818573</v>
      </c>
      <c r="B96">
        <v>-0.47635345908310561</v>
      </c>
      <c r="C96">
        <f t="shared" si="2"/>
        <v>-0.4848079970471974</v>
      </c>
      <c r="D96">
        <f>w_ML!$A$1+w_ML!$A$2*dmatrix!B96+w_ML!$A$3*dmatrix!C96+w_ML!$A$4*dmatrix!D96+w_ML!$A$5*dmatrix!E96+w_ML!$A$6*dmatrix!F96+w_ML!$A$7*dmatrix!G96+w_ML!$A$8*dmatrix!H96+w_ML!$A$9*dmatrix!I96</f>
        <v>-0.24667745199781166</v>
      </c>
      <c r="E96">
        <f>w_ML2!$A$1+w_ML2!$A$2*dmatrix!B96+w_ML2!$A$3*dmatrix!C96+w_ML2!$A$4*dmatrix!D96+w_ML2!$A$5*dmatrix!E96+w_ML2!$A$6*dmatrix!F96+w_ML2!$A$7*dmatrix!G96+w_ML2!$A$8*dmatrix!H96+w_ML2!$A$9*dmatrix!I96</f>
        <v>-0.50149525568696562</v>
      </c>
    </row>
    <row r="97" spans="1:5" x14ac:dyDescent="0.15">
      <c r="A97">
        <v>0.93921607732772827</v>
      </c>
      <c r="B97">
        <v>-0.44790218663939424</v>
      </c>
      <c r="C97">
        <f t="shared" si="2"/>
        <v>-0.37269971195843593</v>
      </c>
      <c r="D97">
        <f>w_ML!$A$1+w_ML!$A$2*dmatrix!B97+w_ML!$A$3*dmatrix!C97+w_ML!$A$4*dmatrix!D97+w_ML!$A$5*dmatrix!E97+w_ML!$A$6*dmatrix!F97+w_ML!$A$7*dmatrix!G97+w_ML!$A$8*dmatrix!H97+w_ML!$A$9*dmatrix!I97</f>
        <v>-0.11767441667620915</v>
      </c>
      <c r="E97">
        <f>w_ML2!$A$1+w_ML2!$A$2*dmatrix!B97+w_ML2!$A$3*dmatrix!C97+w_ML2!$A$4*dmatrix!D97+w_ML2!$A$5*dmatrix!E97+w_ML2!$A$6*dmatrix!F97+w_ML2!$A$7*dmatrix!G97+w_ML2!$A$8*dmatrix!H97+w_ML2!$A$9*dmatrix!I97</f>
        <v>-0.29717844529460535</v>
      </c>
    </row>
    <row r="98" spans="1:5" x14ac:dyDescent="0.15">
      <c r="A98">
        <v>0.95681732892990112</v>
      </c>
      <c r="B98">
        <v>-0.56573119227961466</v>
      </c>
      <c r="C98">
        <f t="shared" si="2"/>
        <v>-0.26800793308776483</v>
      </c>
      <c r="D98">
        <f>w_ML!$A$1+w_ML!$A$2*dmatrix!B98+w_ML!$A$3*dmatrix!C98+w_ML!$A$4*dmatrix!D98+w_ML!$A$5*dmatrix!E98+w_ML!$A$6*dmatrix!F98+w_ML!$A$7*dmatrix!G98+w_ML!$A$8*dmatrix!H98+w_ML!$A$9*dmatrix!I98</f>
        <v>-3.265484275630115E-2</v>
      </c>
      <c r="E98">
        <f>w_ML2!$A$1+w_ML2!$A$2*dmatrix!B98+w_ML2!$A$3*dmatrix!C98+w_ML2!$A$4*dmatrix!D98+w_ML2!$A$5*dmatrix!E98+w_ML2!$A$6*dmatrix!F98+w_ML2!$A$7*dmatrix!G98+w_ML2!$A$8*dmatrix!H98+w_ML2!$A$9*dmatrix!I98</f>
        <v>-8.7620474259821002E-2</v>
      </c>
    </row>
    <row r="99" spans="1:5" x14ac:dyDescent="0.15">
      <c r="A99">
        <v>0.96780687570571899</v>
      </c>
      <c r="B99">
        <v>0.24700929368426855</v>
      </c>
      <c r="C99">
        <f t="shared" si="2"/>
        <v>-0.20089882432263595</v>
      </c>
      <c r="D99">
        <f>w_ML!$A$1+w_ML!$A$2*dmatrix!B99+w_ML!$A$3*dmatrix!C99+w_ML!$A$4*dmatrix!D99+w_ML!$A$5*dmatrix!E99+w_ML!$A$6*dmatrix!F99+w_ML!$A$7*dmatrix!G99+w_ML!$A$8*dmatrix!H99+w_ML!$A$9*dmatrix!I99</f>
        <v>2.6802691004377266E-3</v>
      </c>
      <c r="E99">
        <f>w_ML2!$A$1+w_ML2!$A$2*dmatrix!B99+w_ML2!$A$3*dmatrix!C99+w_ML2!$A$4*dmatrix!D99+w_ML2!$A$5*dmatrix!E99+w_ML2!$A$6*dmatrix!F99+w_ML2!$A$7*dmatrix!G99+w_ML2!$A$8*dmatrix!H99+w_ML2!$A$9*dmatrix!I99</f>
        <v>5.6750702382593055E-2</v>
      </c>
    </row>
    <row r="100" spans="1:5" x14ac:dyDescent="0.15">
      <c r="A100">
        <v>0.97954148054122925</v>
      </c>
      <c r="B100">
        <v>0.83913724267619472</v>
      </c>
      <c r="C100">
        <f t="shared" si="2"/>
        <v>-0.12819095495604069</v>
      </c>
      <c r="D100">
        <f>w_ML!$A$1+w_ML!$A$2*dmatrix!B100+w_ML!$A$3*dmatrix!C100+w_ML!$A$4*dmatrix!D100+w_ML!$A$5*dmatrix!E100+w_ML!$A$6*dmatrix!F100+w_ML!$A$7*dmatrix!G100+w_ML!$A$8*dmatrix!H100+w_ML!$A$9*dmatrix!I100</f>
        <v>2.3336253388379191E-2</v>
      </c>
      <c r="E100">
        <f>w_ML2!$A$1+w_ML2!$A$2*dmatrix!B100+w_ML2!$A$3*dmatrix!C100+w_ML2!$A$4*dmatrix!D100+w_ML2!$A$5*dmatrix!E100+w_ML2!$A$6*dmatrix!F100+w_ML2!$A$7*dmatrix!G100+w_ML2!$A$8*dmatrix!H100+w_ML2!$A$9*dmatrix!I100</f>
        <v>0.2225721594237049</v>
      </c>
    </row>
    <row r="101" spans="1:5" x14ac:dyDescent="0.15">
      <c r="A101">
        <v>0.99992483854293823</v>
      </c>
      <c r="B101">
        <v>-0.29168132540090769</v>
      </c>
      <c r="C101">
        <f t="shared" si="2"/>
        <v>-4.7225334512319939E-4</v>
      </c>
      <c r="D101">
        <f>w_ML!$A$1+w_ML!$A$2*dmatrix!B101+w_ML!$A$3*dmatrix!C101+w_ML!$A$4*dmatrix!D101+w_ML!$A$5*dmatrix!E101+w_ML!$A$6*dmatrix!F101+w_ML!$A$7*dmatrix!G101+w_ML!$A$8*dmatrix!H101+w_ML!$A$9*dmatrix!I101</f>
        <v>1.3933439225183974E-2</v>
      </c>
      <c r="E101">
        <f>w_ML2!$A$1+w_ML2!$A$2*dmatrix!B101+w_ML2!$A$3*dmatrix!C101+w_ML2!$A$4*dmatrix!D101+w_ML2!$A$5*dmatrix!E101+w_ML2!$A$6*dmatrix!F101+w_ML2!$A$7*dmatrix!G101+w_ML2!$A$8*dmatrix!H101+w_ML2!$A$9*dmatrix!I101</f>
        <v>0.53957372374949175</v>
      </c>
    </row>
  </sheetData>
  <sortState ref="A2:B101">
    <sortCondition ref="A2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GenData">
                <anchor moveWithCells="1">
                  <from>
                    <xdr:col>6</xdr:col>
                    <xdr:colOff>219075</xdr:colOff>
                    <xdr:row>4</xdr:row>
                    <xdr:rowOff>114300</xdr:rowOff>
                  </from>
                  <to>
                    <xdr:col>7</xdr:col>
                    <xdr:colOff>247650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"/>
  <sheetViews>
    <sheetView workbookViewId="0">
      <selection activeCell="A2" sqref="A2"/>
    </sheetView>
  </sheetViews>
  <sheetFormatPr defaultRowHeight="13.5" x14ac:dyDescent="0.15"/>
  <cols>
    <col min="3" max="9" width="12.75" bestFit="1" customWidth="1"/>
  </cols>
  <sheetData>
    <row r="1" spans="1:9" x14ac:dyDescent="0.15">
      <c r="A1" t="s">
        <v>10</v>
      </c>
      <c r="B1" t="s">
        <v>9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15">
      <c r="A2">
        <v>1</v>
      </c>
      <c r="B2">
        <f>data!A2</f>
        <v>1.7644107341766357E-2</v>
      </c>
      <c r="C2">
        <f t="shared" ref="C2:C33" si="0">B2^2</f>
        <v>3.1131452388777348E-4</v>
      </c>
      <c r="D2">
        <f t="shared" ref="D2:D33" si="1">B2^3</f>
        <v>5.4928668765267622E-6</v>
      </c>
      <c r="E2">
        <f t="shared" ref="E2:E33" si="2">B2^4</f>
        <v>9.691673278347108E-8</v>
      </c>
      <c r="F2">
        <f t="shared" ref="F2:F33" si="3">B2^5</f>
        <v>1.7100092364448502E-9</v>
      </c>
      <c r="G2">
        <f t="shared" ref="G2:G33" si="4">B2^6</f>
        <v>3.0171586523244866E-11</v>
      </c>
      <c r="H2">
        <f t="shared" ref="H2:H33" si="5">B2^7</f>
        <v>5.3235071128752362E-13</v>
      </c>
      <c r="I2">
        <f t="shared" ref="I2:I33" si="6">B2^8</f>
        <v>9.3928530934227387E-15</v>
      </c>
    </row>
    <row r="3" spans="1:9" x14ac:dyDescent="0.15">
      <c r="A3">
        <v>1</v>
      </c>
      <c r="B3">
        <f>data!A3</f>
        <v>2.3567497730255127E-2</v>
      </c>
      <c r="C3">
        <f t="shared" si="0"/>
        <v>5.5542694926558056E-4</v>
      </c>
      <c r="D3">
        <f t="shared" si="1"/>
        <v>1.30900233661391E-5</v>
      </c>
      <c r="E3">
        <f t="shared" si="2"/>
        <v>3.0849909597046978E-7</v>
      </c>
      <c r="F3">
        <f t="shared" si="3"/>
        <v>7.2705517440698053E-9</v>
      </c>
      <c r="G3">
        <f t="shared" si="4"/>
        <v>1.7134871172606757E-10</v>
      </c>
      <c r="H3">
        <f t="shared" si="5"/>
        <v>4.038260374686238E-12</v>
      </c>
      <c r="I3">
        <f t="shared" si="6"/>
        <v>9.5171692214597125E-14</v>
      </c>
    </row>
    <row r="4" spans="1:9" x14ac:dyDescent="0.15">
      <c r="A4">
        <v>1</v>
      </c>
      <c r="B4">
        <f>data!A4</f>
        <v>2.4107873439788818E-2</v>
      </c>
      <c r="C4">
        <f t="shared" si="0"/>
        <v>5.8118956178887515E-4</v>
      </c>
      <c r="D4">
        <f t="shared" si="1"/>
        <v>1.4011244400132526E-5</v>
      </c>
      <c r="E4">
        <f t="shared" si="2"/>
        <v>3.3778130673234471E-7</v>
      </c>
      <c r="F4">
        <f t="shared" si="3"/>
        <v>8.1431889930298531E-9</v>
      </c>
      <c r="G4">
        <f t="shared" si="4"/>
        <v>1.9631496964024504E-10</v>
      </c>
      <c r="H4">
        <f t="shared" si="5"/>
        <v>4.7327364424230117E-12</v>
      </c>
      <c r="I4">
        <f t="shared" si="6"/>
        <v>1.1409621117781035E-13</v>
      </c>
    </row>
    <row r="5" spans="1:9" x14ac:dyDescent="0.15">
      <c r="A5">
        <v>1</v>
      </c>
      <c r="B5">
        <f>data!A5</f>
        <v>5.3646385669708252E-2</v>
      </c>
      <c r="C5">
        <f t="shared" si="0"/>
        <v>2.8779346954230789E-3</v>
      </c>
      <c r="D5">
        <f t="shared" si="1"/>
        <v>1.5439079460290083E-4</v>
      </c>
      <c r="E5">
        <f t="shared" si="2"/>
        <v>8.2825081111199291E-6</v>
      </c>
      <c r="F5">
        <f t="shared" si="3"/>
        <v>4.4432662444162651E-7</v>
      </c>
      <c r="G5">
        <f t="shared" si="4"/>
        <v>2.3836517458115114E-8</v>
      </c>
      <c r="H5">
        <f t="shared" si="5"/>
        <v>1.2787430085807771E-9</v>
      </c>
      <c r="I5">
        <f t="shared" si="6"/>
        <v>6.8599940610767409E-11</v>
      </c>
    </row>
    <row r="6" spans="1:9" x14ac:dyDescent="0.15">
      <c r="A6">
        <v>1</v>
      </c>
      <c r="B6">
        <f>data!A6</f>
        <v>5.5556595325469971E-2</v>
      </c>
      <c r="C6">
        <f t="shared" si="0"/>
        <v>3.0865352841580318E-3</v>
      </c>
      <c r="D6">
        <f t="shared" si="1"/>
        <v>1.7147739173975225E-4</v>
      </c>
      <c r="E6">
        <f t="shared" si="2"/>
        <v>9.5267000603525016E-6</v>
      </c>
      <c r="F6">
        <f t="shared" si="3"/>
        <v>5.292710200401343E-7</v>
      </c>
      <c r="G6">
        <f t="shared" si="4"/>
        <v>2.9404495877868446E-8</v>
      </c>
      <c r="H6">
        <f t="shared" si="5"/>
        <v>1.6336136782361872E-9</v>
      </c>
      <c r="I6">
        <f t="shared" si="6"/>
        <v>9.0758014039920353E-11</v>
      </c>
    </row>
    <row r="7" spans="1:9" x14ac:dyDescent="0.15">
      <c r="A7">
        <v>1</v>
      </c>
      <c r="B7">
        <f>data!A7</f>
        <v>6.5468847751617432E-2</v>
      </c>
      <c r="C7">
        <f t="shared" si="0"/>
        <v>4.2861700259244628E-3</v>
      </c>
      <c r="D7">
        <f t="shared" si="1"/>
        <v>2.8061061286479481E-4</v>
      </c>
      <c r="E7">
        <f t="shared" si="2"/>
        <v>1.8371253491133311E-5</v>
      </c>
      <c r="F7">
        <f t="shared" si="3"/>
        <v>1.202744797817377E-6</v>
      </c>
      <c r="G7">
        <f t="shared" si="4"/>
        <v>7.8742316052355741E-8</v>
      </c>
      <c r="H7">
        <f t="shared" si="5"/>
        <v>5.1551687012414199E-9</v>
      </c>
      <c r="I7">
        <f t="shared" si="6"/>
        <v>3.3750295483547786E-10</v>
      </c>
    </row>
    <row r="8" spans="1:9" x14ac:dyDescent="0.15">
      <c r="A8">
        <v>1</v>
      </c>
      <c r="B8">
        <f>data!A8</f>
        <v>7.1085751056671143E-2</v>
      </c>
      <c r="C8">
        <f t="shared" si="0"/>
        <v>5.0531840032910225E-3</v>
      </c>
      <c r="D8">
        <f t="shared" si="1"/>
        <v>3.5920938010149849E-4</v>
      </c>
      <c r="E8">
        <f t="shared" si="2"/>
        <v>2.5534668571116285E-5</v>
      </c>
      <c r="F8">
        <f t="shared" si="3"/>
        <v>1.8151510933609768E-6</v>
      </c>
      <c r="G8">
        <f t="shared" si="4"/>
        <v>1.2903137875290284E-7</v>
      </c>
      <c r="H8">
        <f t="shared" si="5"/>
        <v>9.1722924685278969E-9</v>
      </c>
      <c r="I8">
        <f t="shared" si="6"/>
        <v>6.5201929903675373E-10</v>
      </c>
    </row>
    <row r="9" spans="1:9" x14ac:dyDescent="0.15">
      <c r="A9">
        <v>1</v>
      </c>
      <c r="B9">
        <f>data!A9</f>
        <v>7.7021777629852295E-2</v>
      </c>
      <c r="C9">
        <f t="shared" si="0"/>
        <v>5.9323542292624154E-3</v>
      </c>
      <c r="D9">
        <f t="shared" si="1"/>
        <v>4.5692046826776358E-4</v>
      </c>
      <c r="E9">
        <f t="shared" si="2"/>
        <v>3.5192826701447666E-5</v>
      </c>
      <c r="F9">
        <f t="shared" si="3"/>
        <v>2.7106140723648304E-6</v>
      </c>
      <c r="G9">
        <f t="shared" si="4"/>
        <v>2.0877631432203231E-7</v>
      </c>
      <c r="H9">
        <f t="shared" si="5"/>
        <v>1.6080322856091722E-8</v>
      </c>
      <c r="I9">
        <f t="shared" si="6"/>
        <v>1.2385350512381279E-9</v>
      </c>
    </row>
    <row r="10" spans="1:9" x14ac:dyDescent="0.15">
      <c r="A10">
        <v>1</v>
      </c>
      <c r="B10">
        <f>data!A10</f>
        <v>8.3163440227508545E-2</v>
      </c>
      <c r="C10">
        <f t="shared" si="0"/>
        <v>6.9161577904743865E-3</v>
      </c>
      <c r="D10">
        <f t="shared" si="1"/>
        <v>5.751714750121342E-4</v>
      </c>
      <c r="E10">
        <f t="shared" si="2"/>
        <v>4.783323858273955E-5</v>
      </c>
      <c r="F10">
        <f t="shared" si="3"/>
        <v>3.977976677763816E-6</v>
      </c>
      <c r="G10">
        <f t="shared" si="4"/>
        <v>3.3082222566763414E-7</v>
      </c>
      <c r="H10">
        <f t="shared" si="5"/>
        <v>2.7512314390241634E-8</v>
      </c>
      <c r="I10">
        <f t="shared" si="6"/>
        <v>2.2880187133132835E-9</v>
      </c>
    </row>
    <row r="11" spans="1:9" x14ac:dyDescent="0.15">
      <c r="A11">
        <v>1</v>
      </c>
      <c r="B11">
        <f>data!A11</f>
        <v>0.11446493864059448</v>
      </c>
      <c r="C11">
        <f t="shared" si="0"/>
        <v>1.310222217799506E-2</v>
      </c>
      <c r="D11">
        <f t="shared" si="1"/>
        <v>1.4997450576596408E-3</v>
      </c>
      <c r="E11">
        <f t="shared" si="2"/>
        <v>1.7166822600154561E-4</v>
      </c>
      <c r="F11">
        <f t="shared" si="3"/>
        <v>1.9649992955806626E-5</v>
      </c>
      <c r="G11">
        <f t="shared" si="4"/>
        <v>2.2492352379745193E-6</v>
      </c>
      <c r="H11">
        <f t="shared" si="5"/>
        <v>2.5745857350301628E-7</v>
      </c>
      <c r="I11">
        <f t="shared" si="6"/>
        <v>2.946997981851774E-8</v>
      </c>
    </row>
    <row r="12" spans="1:9" x14ac:dyDescent="0.15">
      <c r="A12">
        <v>1</v>
      </c>
      <c r="B12">
        <f>data!A12</f>
        <v>0.12163835763931274</v>
      </c>
      <c r="C12">
        <f t="shared" si="0"/>
        <v>1.4795890049189353E-2</v>
      </c>
      <c r="D12">
        <f t="shared" si="1"/>
        <v>1.7997477653952433E-3</v>
      </c>
      <c r="E12">
        <f t="shared" si="2"/>
        <v>2.189183623477005E-4</v>
      </c>
      <c r="F12">
        <f t="shared" si="3"/>
        <v>2.662887005306225E-5</v>
      </c>
      <c r="G12">
        <f t="shared" si="4"/>
        <v>3.239092019045171E-6</v>
      </c>
      <c r="H12">
        <f t="shared" si="5"/>
        <v>3.9399783343926015E-7</v>
      </c>
      <c r="I12">
        <f t="shared" si="6"/>
        <v>4.7925249372999095E-8</v>
      </c>
    </row>
    <row r="13" spans="1:9" x14ac:dyDescent="0.15">
      <c r="A13">
        <v>1</v>
      </c>
      <c r="B13">
        <f>data!A13</f>
        <v>0.14504307508468628</v>
      </c>
      <c r="C13">
        <f t="shared" si="0"/>
        <v>2.1037493630021942E-2</v>
      </c>
      <c r="D13">
        <f t="shared" si="1"/>
        <v>3.0513427681728819E-3</v>
      </c>
      <c r="E13">
        <f t="shared" si="2"/>
        <v>4.425761382332138E-4</v>
      </c>
      <c r="F13">
        <f t="shared" si="3"/>
        <v>6.4192604048450525E-5</v>
      </c>
      <c r="G13">
        <f t="shared" si="4"/>
        <v>9.3106926888809458E-6</v>
      </c>
      <c r="H13">
        <f t="shared" si="5"/>
        <v>1.3504514987637987E-6</v>
      </c>
      <c r="I13">
        <f t="shared" si="6"/>
        <v>1.9587363813342477E-7</v>
      </c>
    </row>
    <row r="14" spans="1:9" x14ac:dyDescent="0.15">
      <c r="A14">
        <v>1</v>
      </c>
      <c r="B14">
        <f>data!A14</f>
        <v>0.15510958433151245</v>
      </c>
      <c r="C14">
        <f t="shared" si="0"/>
        <v>2.4058983151494573E-2</v>
      </c>
      <c r="D14">
        <f t="shared" si="1"/>
        <v>3.7317788760671848E-3</v>
      </c>
      <c r="E14">
        <f t="shared" si="2"/>
        <v>5.7883467028389975E-4</v>
      </c>
      <c r="F14">
        <f t="shared" si="3"/>
        <v>8.9782805104403747E-5</v>
      </c>
      <c r="G14">
        <f t="shared" si="4"/>
        <v>1.3926173579861261E-5</v>
      </c>
      <c r="H14">
        <f t="shared" si="5"/>
        <v>2.1600829953007709E-6</v>
      </c>
      <c r="I14">
        <f t="shared" si="6"/>
        <v>3.3504957552267091E-7</v>
      </c>
    </row>
    <row r="15" spans="1:9" x14ac:dyDescent="0.15">
      <c r="A15">
        <v>1</v>
      </c>
      <c r="B15">
        <f>data!A15</f>
        <v>0.1586335301399231</v>
      </c>
      <c r="C15">
        <f t="shared" si="0"/>
        <v>2.5164596884653889E-2</v>
      </c>
      <c r="D15">
        <f t="shared" si="1"/>
        <v>3.9919488383607579E-3</v>
      </c>
      <c r="E15">
        <f t="shared" si="2"/>
        <v>6.3325693636713228E-4</v>
      </c>
      <c r="F15">
        <f t="shared" si="3"/>
        <v>1.0045578330151084E-4</v>
      </c>
      <c r="G15">
        <f t="shared" si="4"/>
        <v>1.5935655528089803E-5</v>
      </c>
      <c r="H15">
        <f t="shared" si="5"/>
        <v>2.5279292915146661E-6</v>
      </c>
      <c r="I15">
        <f t="shared" si="6"/>
        <v>4.010143474570862E-7</v>
      </c>
    </row>
    <row r="16" spans="1:9" x14ac:dyDescent="0.15">
      <c r="A16">
        <v>1</v>
      </c>
      <c r="B16">
        <f>data!A16</f>
        <v>0.16517812013626099</v>
      </c>
      <c r="C16">
        <f t="shared" si="0"/>
        <v>2.7283811371749067E-2</v>
      </c>
      <c r="D16">
        <f t="shared" si="1"/>
        <v>4.5066886725378509E-3</v>
      </c>
      <c r="E16">
        <f t="shared" si="2"/>
        <v>7.4440636296918376E-4</v>
      </c>
      <c r="F16">
        <f t="shared" si="3"/>
        <v>1.2295964365272092E-4</v>
      </c>
      <c r="G16">
        <f t="shared" si="4"/>
        <v>2.0310242791180979E-5</v>
      </c>
      <c r="H16">
        <f t="shared" si="5"/>
        <v>3.3548077237583204E-6</v>
      </c>
      <c r="I16">
        <f t="shared" si="6"/>
        <v>5.5414083322900818E-7</v>
      </c>
    </row>
    <row r="17" spans="1:9" x14ac:dyDescent="0.15">
      <c r="A17">
        <v>1</v>
      </c>
      <c r="B17">
        <f>data!A17</f>
        <v>0.17063933610916138</v>
      </c>
      <c r="C17">
        <f t="shared" si="0"/>
        <v>2.9117783027775346E-2</v>
      </c>
      <c r="D17">
        <f t="shared" si="1"/>
        <v>4.9686391648301916E-3</v>
      </c>
      <c r="E17">
        <f t="shared" si="2"/>
        <v>8.4784528845260193E-4</v>
      </c>
      <c r="F17">
        <f t="shared" si="3"/>
        <v>1.4467575714483243E-4</v>
      </c>
      <c r="G17">
        <f t="shared" si="4"/>
        <v>2.4687375150284463E-5</v>
      </c>
      <c r="H17">
        <f t="shared" si="5"/>
        <v>4.2126373059223488E-6</v>
      </c>
      <c r="I17">
        <f t="shared" si="6"/>
        <v>7.1884163315127579E-7</v>
      </c>
    </row>
    <row r="18" spans="1:9" x14ac:dyDescent="0.15">
      <c r="A18">
        <v>1</v>
      </c>
      <c r="B18">
        <f>data!A18</f>
        <v>0.17151635885238647</v>
      </c>
      <c r="C18">
        <f t="shared" si="0"/>
        <v>2.9417861353980612E-2</v>
      </c>
      <c r="D18">
        <f t="shared" si="1"/>
        <v>5.0456444646590909E-3</v>
      </c>
      <c r="E18">
        <f t="shared" si="2"/>
        <v>8.6541056664202599E-4</v>
      </c>
      <c r="F18">
        <f t="shared" si="3"/>
        <v>1.4843206930282085E-4</v>
      </c>
      <c r="G18">
        <f t="shared" si="4"/>
        <v>2.5458528063744918E-5</v>
      </c>
      <c r="H18">
        <f t="shared" si="5"/>
        <v>4.3665540352348256E-6</v>
      </c>
      <c r="I18">
        <f t="shared" si="6"/>
        <v>7.4893544885567256E-7</v>
      </c>
    </row>
    <row r="19" spans="1:9" x14ac:dyDescent="0.15">
      <c r="A19">
        <v>1</v>
      </c>
      <c r="B19">
        <f>data!A19</f>
        <v>0.17319387197494507</v>
      </c>
      <c r="C19">
        <f t="shared" si="0"/>
        <v>2.9996117289673663E-2</v>
      </c>
      <c r="D19">
        <f t="shared" si="1"/>
        <v>5.1951436976131766E-3</v>
      </c>
      <c r="E19">
        <f t="shared" si="2"/>
        <v>8.997670524558592E-4</v>
      </c>
      <c r="F19">
        <f t="shared" si="3"/>
        <v>1.5583413969031377E-4</v>
      </c>
      <c r="G19">
        <f t="shared" si="4"/>
        <v>2.6989518038849907E-5</v>
      </c>
      <c r="H19">
        <f t="shared" si="5"/>
        <v>4.6744191318860411E-6</v>
      </c>
      <c r="I19">
        <f t="shared" si="6"/>
        <v>8.0958074868510491E-7</v>
      </c>
    </row>
    <row r="20" spans="1:9" x14ac:dyDescent="0.15">
      <c r="A20">
        <v>1</v>
      </c>
      <c r="B20">
        <f>data!A20</f>
        <v>0.17387574911117554</v>
      </c>
      <c r="C20">
        <f t="shared" si="0"/>
        <v>3.0232776128972461E-2</v>
      </c>
      <c r="D20">
        <f t="shared" si="1"/>
        <v>5.2567465971355525E-3</v>
      </c>
      <c r="E20">
        <f t="shared" si="2"/>
        <v>9.1402075246456709E-4</v>
      </c>
      <c r="F20">
        <f t="shared" si="3"/>
        <v>1.5892604303793695E-4</v>
      </c>
      <c r="G20">
        <f t="shared" si="4"/>
        <v>2.7633384786496209E-5</v>
      </c>
      <c r="H20">
        <f t="shared" si="5"/>
        <v>4.8047754802293902E-6</v>
      </c>
      <c r="I20">
        <f t="shared" si="6"/>
        <v>8.3543393593589342E-7</v>
      </c>
    </row>
    <row r="21" spans="1:9" x14ac:dyDescent="0.15">
      <c r="A21">
        <v>1</v>
      </c>
      <c r="B21">
        <f>data!A21</f>
        <v>0.17957693338394165</v>
      </c>
      <c r="C21">
        <f t="shared" si="0"/>
        <v>3.2247875003580617E-2</v>
      </c>
      <c r="D21">
        <f t="shared" si="1"/>
        <v>5.7909745012916739E-3</v>
      </c>
      <c r="E21">
        <f t="shared" si="2"/>
        <v>1.0399254422465596E-3</v>
      </c>
      <c r="F21">
        <f t="shared" si="3"/>
        <v>1.8674662186657649E-4</v>
      </c>
      <c r="G21">
        <f t="shared" si="4"/>
        <v>3.3535385674610348E-5</v>
      </c>
      <c r="H21">
        <f t="shared" si="5"/>
        <v>6.022181719294294E-6</v>
      </c>
      <c r="I21">
        <f t="shared" si="6"/>
        <v>1.0814449254317026E-6</v>
      </c>
    </row>
    <row r="22" spans="1:9" x14ac:dyDescent="0.15">
      <c r="A22">
        <v>1</v>
      </c>
      <c r="B22">
        <f>data!A22</f>
        <v>0.1816677451133728</v>
      </c>
      <c r="C22">
        <f t="shared" si="0"/>
        <v>3.3003169614577388E-2</v>
      </c>
      <c r="D22">
        <f t="shared" si="1"/>
        <v>5.9956114054744549E-3</v>
      </c>
      <c r="E22">
        <f t="shared" si="2"/>
        <v>1.0892092046085641E-3</v>
      </c>
      <c r="F22">
        <f t="shared" si="3"/>
        <v>1.9787418015796814E-4</v>
      </c>
      <c r="G22">
        <f t="shared" si="4"/>
        <v>3.5947356125455365E-5</v>
      </c>
      <c r="H22">
        <f t="shared" si="5"/>
        <v>6.5304751300988663E-6</v>
      </c>
      <c r="I22">
        <f t="shared" si="6"/>
        <v>1.1863766914040208E-6</v>
      </c>
    </row>
    <row r="23" spans="1:9" x14ac:dyDescent="0.15">
      <c r="A23">
        <v>1</v>
      </c>
      <c r="B23">
        <f>data!A23</f>
        <v>0.18621045351028442</v>
      </c>
      <c r="C23">
        <f t="shared" si="0"/>
        <v>3.4674332996505797E-2</v>
      </c>
      <c r="D23">
        <f t="shared" si="1"/>
        <v>6.4567232724459635E-3</v>
      </c>
      <c r="E23">
        <f t="shared" si="2"/>
        <v>1.2023093687525707E-3</v>
      </c>
      <c r="F23">
        <f t="shared" si="3"/>
        <v>2.2388257281507999E-4</v>
      </c>
      <c r="G23">
        <f t="shared" si="4"/>
        <v>4.168927541694532E-5</v>
      </c>
      <c r="H23">
        <f t="shared" si="5"/>
        <v>7.7629788819045397E-6</v>
      </c>
      <c r="I23">
        <f t="shared" si="6"/>
        <v>1.4455478181902051E-6</v>
      </c>
    </row>
    <row r="24" spans="1:9" x14ac:dyDescent="0.15">
      <c r="A24">
        <v>1</v>
      </c>
      <c r="B24">
        <f>data!A24</f>
        <v>0.19191259145736694</v>
      </c>
      <c r="C24">
        <f t="shared" si="0"/>
        <v>3.6830442759882231E-2</v>
      </c>
      <c r="D24">
        <f t="shared" si="1"/>
        <v>7.0682257145712173E-3</v>
      </c>
      <c r="E24">
        <f t="shared" si="2"/>
        <v>1.3564815138889614E-3</v>
      </c>
      <c r="F24">
        <f t="shared" si="3"/>
        <v>2.603258825944429E-4</v>
      </c>
      <c r="G24">
        <f t="shared" si="4"/>
        <v>4.9959814752125786E-5</v>
      </c>
      <c r="H24">
        <f t="shared" si="5"/>
        <v>9.5879175178104513E-6</v>
      </c>
      <c r="I24">
        <f t="shared" si="6"/>
        <v>1.8400420975224886E-6</v>
      </c>
    </row>
    <row r="25" spans="1:9" x14ac:dyDescent="0.15">
      <c r="A25">
        <v>1</v>
      </c>
      <c r="B25">
        <f>data!A25</f>
        <v>0.2059064507484436</v>
      </c>
      <c r="C25">
        <f t="shared" si="0"/>
        <v>4.2397466459821231E-2</v>
      </c>
      <c r="D25">
        <f t="shared" si="1"/>
        <v>8.7299118394679708E-3</v>
      </c>
      <c r="E25">
        <f t="shared" si="2"/>
        <v>1.7975451622116662E-3</v>
      </c>
      <c r="F25">
        <f t="shared" si="3"/>
        <v>3.7012614441103952E-4</v>
      </c>
      <c r="G25">
        <f t="shared" si="4"/>
        <v>7.6211360724883035E-5</v>
      </c>
      <c r="H25">
        <f t="shared" si="5"/>
        <v>1.5692410793569999E-5</v>
      </c>
      <c r="I25">
        <f t="shared" si="6"/>
        <v>3.2311686101905654E-6</v>
      </c>
    </row>
    <row r="26" spans="1:9" x14ac:dyDescent="0.15">
      <c r="A26">
        <v>1</v>
      </c>
      <c r="B26">
        <f>data!A26</f>
        <v>0.20945066213607788</v>
      </c>
      <c r="C26">
        <f t="shared" si="0"/>
        <v>4.3869579869241448E-2</v>
      </c>
      <c r="D26">
        <f t="shared" si="1"/>
        <v>9.1885125512441747E-3</v>
      </c>
      <c r="E26">
        <f t="shared" si="2"/>
        <v>1.9245400379037545E-3</v>
      </c>
      <c r="F26">
        <f t="shared" si="3"/>
        <v>4.0309618524633382E-4</v>
      </c>
      <c r="G26">
        <f t="shared" si="4"/>
        <v>8.4428762904371728E-5</v>
      </c>
      <c r="H26">
        <f t="shared" si="5"/>
        <v>1.7683660293650587E-5</v>
      </c>
      <c r="I26">
        <f t="shared" si="6"/>
        <v>3.7038543574945848E-6</v>
      </c>
    </row>
    <row r="27" spans="1:9" x14ac:dyDescent="0.15">
      <c r="A27">
        <v>1</v>
      </c>
      <c r="B27">
        <f>data!A27</f>
        <v>0.22782808542251587</v>
      </c>
      <c r="C27">
        <f t="shared" si="0"/>
        <v>5.1905636507289188E-2</v>
      </c>
      <c r="D27">
        <f t="shared" si="1"/>
        <v>1.1825561788092739E-2</v>
      </c>
      <c r="E27">
        <f t="shared" si="2"/>
        <v>2.694195101226832E-3</v>
      </c>
      <c r="F27">
        <f t="shared" si="3"/>
        <v>6.1381331166723049E-4</v>
      </c>
      <c r="G27">
        <f t="shared" si="4"/>
        <v>1.3984391160399914E-4</v>
      </c>
      <c r="H27">
        <f t="shared" si="5"/>
        <v>3.1860370638734673E-5</v>
      </c>
      <c r="I27">
        <f t="shared" si="6"/>
        <v>7.2586872434746595E-6</v>
      </c>
    </row>
    <row r="28" spans="1:9" x14ac:dyDescent="0.15">
      <c r="A28">
        <v>1</v>
      </c>
      <c r="B28">
        <f>data!A28</f>
        <v>0.22804182767868042</v>
      </c>
      <c r="C28">
        <f t="shared" si="0"/>
        <v>5.2003075171032975E-2</v>
      </c>
      <c r="D28">
        <f t="shared" si="1"/>
        <v>1.1858876306914167E-2</v>
      </c>
      <c r="E28">
        <f t="shared" si="2"/>
        <v>2.7043198272441063E-3</v>
      </c>
      <c r="F28">
        <f t="shared" si="3"/>
        <v>6.1669803603243924E-4</v>
      </c>
      <c r="G28">
        <f t="shared" si="4"/>
        <v>1.4063294726269018E-4</v>
      </c>
      <c r="H28">
        <f t="shared" si="5"/>
        <v>3.2070194325623345E-5</v>
      </c>
      <c r="I28">
        <f t="shared" si="6"/>
        <v>7.3133457280255929E-6</v>
      </c>
    </row>
    <row r="29" spans="1:9" x14ac:dyDescent="0.15">
      <c r="A29">
        <v>1</v>
      </c>
      <c r="B29">
        <f>data!A29</f>
        <v>0.2389792799949646</v>
      </c>
      <c r="C29">
        <f t="shared" si="0"/>
        <v>5.7111096266911687E-2</v>
      </c>
      <c r="D29">
        <f t="shared" si="1"/>
        <v>1.3648368665589666E-2</v>
      </c>
      <c r="E29">
        <f t="shared" si="2"/>
        <v>3.2616773168084542E-3</v>
      </c>
      <c r="F29">
        <f t="shared" si="3"/>
        <v>7.7947329674679243E-4</v>
      </c>
      <c r="G29">
        <f t="shared" si="4"/>
        <v>1.8627796723184984E-4</v>
      </c>
      <c r="H29">
        <f t="shared" si="5"/>
        <v>4.4516574487993085E-5</v>
      </c>
      <c r="I29">
        <f t="shared" si="6"/>
        <v>1.0638538918982798E-5</v>
      </c>
    </row>
    <row r="30" spans="1:9" x14ac:dyDescent="0.15">
      <c r="A30">
        <v>1</v>
      </c>
      <c r="B30">
        <f>data!A30</f>
        <v>0.24754840135574341</v>
      </c>
      <c r="C30">
        <f t="shared" si="0"/>
        <v>6.1280211013784225E-2</v>
      </c>
      <c r="D30">
        <f t="shared" si="1"/>
        <v>1.5169818271204906E-2</v>
      </c>
      <c r="E30">
        <f t="shared" si="2"/>
        <v>3.7552642618939214E-3</v>
      </c>
      <c r="F30">
        <f t="shared" si="3"/>
        <v>9.29609664700196E-4</v>
      </c>
      <c r="G30">
        <f t="shared" si="4"/>
        <v>2.3012338638138218E-4</v>
      </c>
      <c r="H30">
        <f t="shared" si="5"/>
        <v>5.6966676413281211E-5</v>
      </c>
      <c r="I30">
        <f t="shared" si="6"/>
        <v>1.4102009676657699E-5</v>
      </c>
    </row>
    <row r="31" spans="1:9" x14ac:dyDescent="0.15">
      <c r="A31">
        <v>1</v>
      </c>
      <c r="B31">
        <f>data!A31</f>
        <v>0.24772590398788452</v>
      </c>
      <c r="C31">
        <f t="shared" si="0"/>
        <v>6.136812350661458E-2</v>
      </c>
      <c r="D31">
        <f t="shared" si="1"/>
        <v>1.5202473871716242E-2</v>
      </c>
      <c r="E31">
        <f t="shared" si="2"/>
        <v>3.766046582723101E-3</v>
      </c>
      <c r="F31">
        <f t="shared" si="3"/>
        <v>9.3294729416556349E-4</v>
      </c>
      <c r="G31">
        <f t="shared" si="4"/>
        <v>2.3111521182021504E-4</v>
      </c>
      <c r="H31">
        <f t="shared" si="5"/>
        <v>5.7253224773514182E-5</v>
      </c>
      <c r="I31">
        <f t="shared" si="6"/>
        <v>1.4183106863240346E-5</v>
      </c>
    </row>
    <row r="32" spans="1:9" x14ac:dyDescent="0.15">
      <c r="A32">
        <v>1</v>
      </c>
      <c r="B32">
        <f>data!A32</f>
        <v>0.25755351781845093</v>
      </c>
      <c r="C32">
        <f t="shared" si="0"/>
        <v>6.633381454065912E-2</v>
      </c>
      <c r="D32">
        <f t="shared" si="1"/>
        <v>1.7084507285263468E-2</v>
      </c>
      <c r="E32">
        <f t="shared" si="2"/>
        <v>4.4001749515145596E-3</v>
      </c>
      <c r="F32">
        <f t="shared" si="3"/>
        <v>1.1332805377792065E-3</v>
      </c>
      <c r="G32">
        <f t="shared" si="4"/>
        <v>2.9188038918022055E-4</v>
      </c>
      <c r="H32">
        <f t="shared" si="5"/>
        <v>7.5174821015584317E-5</v>
      </c>
      <c r="I32">
        <f t="shared" si="6"/>
        <v>1.9361539603936156E-5</v>
      </c>
    </row>
    <row r="33" spans="1:9" x14ac:dyDescent="0.15">
      <c r="A33">
        <v>1</v>
      </c>
      <c r="B33">
        <f>data!A33</f>
        <v>0.26688545942306519</v>
      </c>
      <c r="C33">
        <f t="shared" si="0"/>
        <v>7.1227848451460574E-2</v>
      </c>
      <c r="D33">
        <f t="shared" si="1"/>
        <v>1.9009677057684516E-2</v>
      </c>
      <c r="E33">
        <f t="shared" si="2"/>
        <v>5.0734063950242346E-3</v>
      </c>
      <c r="F33">
        <f t="shared" si="3"/>
        <v>1.3540183965759598E-3</v>
      </c>
      <c r="G33">
        <f t="shared" si="4"/>
        <v>3.6136782183745711E-4</v>
      </c>
      <c r="H33">
        <f t="shared" si="5"/>
        <v>9.64438171518021E-5</v>
      </c>
      <c r="I33">
        <f t="shared" si="6"/>
        <v>2.5739452449072801E-5</v>
      </c>
    </row>
    <row r="34" spans="1:9" x14ac:dyDescent="0.15">
      <c r="A34">
        <v>1</v>
      </c>
      <c r="B34">
        <f>data!A34</f>
        <v>0.27735358476638794</v>
      </c>
      <c r="C34">
        <f t="shared" ref="C34:C65" si="7">B34^2</f>
        <v>7.692501098276594E-2</v>
      </c>
      <c r="D34">
        <f t="shared" ref="D34:D65" si="8">B34^3</f>
        <v>2.1335427554263896E-2</v>
      </c>
      <c r="E34">
        <f t="shared" ref="E34:E65" si="9">B34^4</f>
        <v>5.9174573146986605E-3</v>
      </c>
      <c r="F34">
        <f t="shared" ref="F34:F65" si="10">B34^5</f>
        <v>1.6412279989337572E-3</v>
      </c>
      <c r="G34">
        <f t="shared" ref="G34:G65" si="11">B34^6</f>
        <v>4.5520046892324312E-4</v>
      </c>
      <c r="H34">
        <f t="shared" ref="H34:H65" si="12">B34^7</f>
        <v>1.2625148184320224E-4</v>
      </c>
      <c r="I34">
        <f t="shared" ref="I34:I65" si="13">B34^8</f>
        <v>3.5016301071280684E-5</v>
      </c>
    </row>
    <row r="35" spans="1:9" x14ac:dyDescent="0.15">
      <c r="A35">
        <v>1</v>
      </c>
      <c r="B35">
        <f>data!A35</f>
        <v>0.28188914060592651</v>
      </c>
      <c r="C35">
        <f t="shared" si="7"/>
        <v>7.9461487591547808E-2</v>
      </c>
      <c r="D35">
        <f t="shared" si="8"/>
        <v>2.2399330448449904E-2</v>
      </c>
      <c r="E35">
        <f t="shared" si="9"/>
        <v>6.314128010261706E-3</v>
      </c>
      <c r="F35">
        <f t="shared" si="10"/>
        <v>1.779884118488481E-3</v>
      </c>
      <c r="G35">
        <f t="shared" si="11"/>
        <v>5.0173000453885501E-4</v>
      </c>
      <c r="H35">
        <f t="shared" si="12"/>
        <v>1.4143223979566543E-4</v>
      </c>
      <c r="I35">
        <f t="shared" si="13"/>
        <v>3.9868212529971451E-5</v>
      </c>
    </row>
    <row r="36" spans="1:9" x14ac:dyDescent="0.15">
      <c r="A36">
        <v>1</v>
      </c>
      <c r="B36">
        <f>data!A36</f>
        <v>0.28612452745437622</v>
      </c>
      <c r="C36">
        <f t="shared" si="7"/>
        <v>8.1867245210990092E-2</v>
      </c>
      <c r="D36">
        <f t="shared" si="8"/>
        <v>2.3424226849986084E-2</v>
      </c>
      <c r="E36">
        <f t="shared" si="9"/>
        <v>6.7022458384363801E-3</v>
      </c>
      <c r="F36">
        <f t="shared" si="10"/>
        <v>1.9176769234056689E-3</v>
      </c>
      <c r="G36">
        <f t="shared" si="11"/>
        <v>5.4869440351960896E-4</v>
      </c>
      <c r="H36">
        <f t="shared" si="12"/>
        <v>1.5699492692390895E-4</v>
      </c>
      <c r="I36">
        <f t="shared" si="13"/>
        <v>4.4920099278837779E-5</v>
      </c>
    </row>
    <row r="37" spans="1:9" x14ac:dyDescent="0.15">
      <c r="A37">
        <v>1</v>
      </c>
      <c r="B37">
        <f>data!A37</f>
        <v>0.2961077094078064</v>
      </c>
      <c r="C37">
        <f t="shared" si="7"/>
        <v>8.7679775570737917E-2</v>
      </c>
      <c r="D37">
        <f t="shared" si="8"/>
        <v>2.5962657505641744E-2</v>
      </c>
      <c r="E37">
        <f t="shared" si="9"/>
        <v>7.6877430441349695E-3</v>
      </c>
      <c r="F37">
        <f t="shared" si="10"/>
        <v>2.2763999833146026E-3</v>
      </c>
      <c r="G37">
        <f t="shared" si="11"/>
        <v>6.7405958475525568E-4</v>
      </c>
      <c r="H37">
        <f t="shared" si="12"/>
        <v>1.9959423964625587E-4</v>
      </c>
      <c r="I37">
        <f t="shared" si="13"/>
        <v>5.9101393112645608E-5</v>
      </c>
    </row>
    <row r="38" spans="1:9" x14ac:dyDescent="0.15">
      <c r="A38">
        <v>1</v>
      </c>
      <c r="B38">
        <f>data!A38</f>
        <v>0.29763609170913696</v>
      </c>
      <c r="C38">
        <f t="shared" si="7"/>
        <v>8.8587243087889789E-2</v>
      </c>
      <c r="D38">
        <f t="shared" si="8"/>
        <v>2.6366760807966776E-2</v>
      </c>
      <c r="E38">
        <f t="shared" si="9"/>
        <v>7.8476996379128767E-3</v>
      </c>
      <c r="F38">
        <f t="shared" si="10"/>
        <v>2.335758649135598E-3</v>
      </c>
      <c r="G38">
        <f t="shared" si="11"/>
        <v>6.9520607550453272E-4</v>
      </c>
      <c r="H38">
        <f t="shared" si="12"/>
        <v>2.069184192456163E-4</v>
      </c>
      <c r="I38">
        <f t="shared" si="13"/>
        <v>6.1586389606897894E-5</v>
      </c>
    </row>
    <row r="39" spans="1:9" x14ac:dyDescent="0.15">
      <c r="A39">
        <v>1</v>
      </c>
      <c r="B39">
        <f>data!A39</f>
        <v>0.29863458871841431</v>
      </c>
      <c r="C39">
        <f t="shared" si="7"/>
        <v>8.9182617579016465E-2</v>
      </c>
      <c r="D39">
        <f t="shared" si="8"/>
        <v>2.6633014321541207E-2</v>
      </c>
      <c r="E39">
        <f t="shared" si="9"/>
        <v>7.9535392782450962E-3</v>
      </c>
      <c r="F39">
        <f t="shared" si="10"/>
        <v>2.3752019312144779E-3</v>
      </c>
      <c r="G39">
        <f t="shared" si="11"/>
        <v>7.0931745185141902E-4</v>
      </c>
      <c r="H39">
        <f t="shared" si="12"/>
        <v>2.1182672550444217E-4</v>
      </c>
      <c r="I39">
        <f t="shared" si="13"/>
        <v>6.3258787050587528E-5</v>
      </c>
    </row>
    <row r="40" spans="1:9" x14ac:dyDescent="0.15">
      <c r="A40">
        <v>1</v>
      </c>
      <c r="B40">
        <f>data!A40</f>
        <v>0.30439835786819458</v>
      </c>
      <c r="C40">
        <f t="shared" si="7"/>
        <v>9.2658360272853457E-2</v>
      </c>
      <c r="D40">
        <f t="shared" si="8"/>
        <v>2.8205052709816152E-2</v>
      </c>
      <c r="E40">
        <f t="shared" si="9"/>
        <v>8.5855717284539085E-3</v>
      </c>
      <c r="F40">
        <f t="shared" si="10"/>
        <v>2.6134339355009667E-3</v>
      </c>
      <c r="G40">
        <f t="shared" si="11"/>
        <v>7.9552499836350746E-4</v>
      </c>
      <c r="H40">
        <f t="shared" si="12"/>
        <v>2.4215650314494985E-4</v>
      </c>
      <c r="I40">
        <f t="shared" si="13"/>
        <v>7.3712041904427033E-5</v>
      </c>
    </row>
    <row r="41" spans="1:9" x14ac:dyDescent="0.15">
      <c r="A41">
        <v>1</v>
      </c>
      <c r="B41">
        <f>data!A41</f>
        <v>0.32076317071914673</v>
      </c>
      <c r="C41">
        <f t="shared" si="7"/>
        <v>0.10288901168980047</v>
      </c>
      <c r="D41">
        <f t="shared" si="8"/>
        <v>3.3003005621779755E-2</v>
      </c>
      <c r="E41">
        <f t="shared" si="9"/>
        <v>1.0586148726503897E-2</v>
      </c>
      <c r="F41">
        <f t="shared" si="10"/>
        <v>3.3956466312178471E-3</v>
      </c>
      <c r="G41">
        <f t="shared" si="11"/>
        <v>1.0891983800712258E-3</v>
      </c>
      <c r="H41">
        <f t="shared" si="12"/>
        <v>3.4937472593380472E-4</v>
      </c>
      <c r="I41">
        <f t="shared" si="13"/>
        <v>1.1206654485966008E-4</v>
      </c>
    </row>
    <row r="42" spans="1:9" x14ac:dyDescent="0.15">
      <c r="A42">
        <v>1</v>
      </c>
      <c r="B42">
        <f>data!A42</f>
        <v>0.32565110921859741</v>
      </c>
      <c r="C42">
        <f t="shared" si="7"/>
        <v>0.10604864493530286</v>
      </c>
      <c r="D42">
        <f t="shared" si="8"/>
        <v>3.4534858854310568E-2</v>
      </c>
      <c r="E42">
        <f t="shared" si="9"/>
        <v>1.1246315092613937E-2</v>
      </c>
      <c r="F42">
        <f t="shared" si="10"/>
        <v>3.6623749845315816E-3</v>
      </c>
      <c r="G42">
        <f t="shared" si="11"/>
        <v>1.192656476087153E-3</v>
      </c>
      <c r="H42">
        <f t="shared" si="12"/>
        <v>3.8838990435452502E-4</v>
      </c>
      <c r="I42">
        <f t="shared" si="13"/>
        <v>1.2647960316235603E-4</v>
      </c>
    </row>
    <row r="43" spans="1:9" x14ac:dyDescent="0.15">
      <c r="A43">
        <v>1</v>
      </c>
      <c r="B43">
        <f>data!A43</f>
        <v>0.33718246221542358</v>
      </c>
      <c r="C43">
        <f t="shared" si="7"/>
        <v>0.11369201282565555</v>
      </c>
      <c r="D43">
        <f t="shared" si="8"/>
        <v>3.8334952818782055E-2</v>
      </c>
      <c r="E43">
        <f t="shared" si="9"/>
        <v>1.2925873780349026E-2</v>
      </c>
      <c r="F43">
        <f t="shared" si="10"/>
        <v>4.3583779475438698E-3</v>
      </c>
      <c r="G43">
        <f t="shared" si="11"/>
        <v>1.4695686076182462E-3</v>
      </c>
      <c r="H43">
        <f t="shared" si="12"/>
        <v>4.9551276151121198E-4</v>
      </c>
      <c r="I43">
        <f t="shared" si="13"/>
        <v>1.6707821298551443E-4</v>
      </c>
    </row>
    <row r="44" spans="1:9" x14ac:dyDescent="0.15">
      <c r="A44">
        <v>1</v>
      </c>
      <c r="B44">
        <f>data!A44</f>
        <v>0.36816853284835815</v>
      </c>
      <c r="C44">
        <f t="shared" si="7"/>
        <v>0.13554806857971258</v>
      </c>
      <c r="D44">
        <f t="shared" si="8"/>
        <v>4.9904533539421411E-2</v>
      </c>
      <c r="E44">
        <f t="shared" si="9"/>
        <v>1.8373278895690463E-2</v>
      </c>
      <c r="F44">
        <f t="shared" si="10"/>
        <v>6.7644631346400596E-3</v>
      </c>
      <c r="G44">
        <f t="shared" si="11"/>
        <v>2.4904624677872366E-3</v>
      </c>
      <c r="H44">
        <f t="shared" si="12"/>
        <v>9.1690991287912823E-4</v>
      </c>
      <c r="I44">
        <f t="shared" si="13"/>
        <v>3.3757737737882457E-4</v>
      </c>
    </row>
    <row r="45" spans="1:9" x14ac:dyDescent="0.15">
      <c r="A45">
        <v>1</v>
      </c>
      <c r="B45">
        <f>data!A45</f>
        <v>0.37443023920059204</v>
      </c>
      <c r="C45">
        <f t="shared" si="7"/>
        <v>0.14019800402781257</v>
      </c>
      <c r="D45">
        <f t="shared" si="8"/>
        <v>5.2494372183579427E-2</v>
      </c>
      <c r="E45">
        <f t="shared" si="9"/>
        <v>1.965548033338255E-2</v>
      </c>
      <c r="F45">
        <f t="shared" si="10"/>
        <v>7.3596062028309607E-3</v>
      </c>
      <c r="G45">
        <f t="shared" si="11"/>
        <v>2.7556591109481575E-3</v>
      </c>
      <c r="H45">
        <f t="shared" si="12"/>
        <v>1.0318021000676094E-3</v>
      </c>
      <c r="I45">
        <f t="shared" si="13"/>
        <v>3.8633790713598823E-4</v>
      </c>
    </row>
    <row r="46" spans="1:9" x14ac:dyDescent="0.15">
      <c r="A46">
        <v>1</v>
      </c>
      <c r="B46">
        <f>data!A46</f>
        <v>0.3769952654838562</v>
      </c>
      <c r="C46">
        <f t="shared" si="7"/>
        <v>0.14212543019724322</v>
      </c>
      <c r="D46">
        <f t="shared" si="8"/>
        <v>5.3580614289216982E-2</v>
      </c>
      <c r="E46">
        <f t="shared" si="9"/>
        <v>2.0199637908751455E-2</v>
      </c>
      <c r="F46">
        <f t="shared" si="10"/>
        <v>7.6151678560875211E-3</v>
      </c>
      <c r="G46">
        <f t="shared" si="11"/>
        <v>2.8708822276098428E-3</v>
      </c>
      <c r="H46">
        <f t="shared" si="12"/>
        <v>1.0823090075706573E-3</v>
      </c>
      <c r="I46">
        <f t="shared" si="13"/>
        <v>4.0802537164466888E-4</v>
      </c>
    </row>
    <row r="47" spans="1:9" x14ac:dyDescent="0.15">
      <c r="A47">
        <v>1</v>
      </c>
      <c r="B47">
        <f>data!A47</f>
        <v>0.37964028120040894</v>
      </c>
      <c r="C47">
        <f t="shared" si="7"/>
        <v>0.14412674310992557</v>
      </c>
      <c r="D47">
        <f t="shared" si="8"/>
        <v>5.4716317282751246E-2</v>
      </c>
      <c r="E47">
        <f t="shared" si="9"/>
        <v>2.0772518079474479E-2</v>
      </c>
      <c r="F47">
        <f t="shared" si="10"/>
        <v>7.8860846049322707E-3</v>
      </c>
      <c r="G47">
        <f t="shared" si="11"/>
        <v>2.9938753769867027E-3</v>
      </c>
      <c r="H47">
        <f t="shared" si="12"/>
        <v>1.1365956899982122E-3</v>
      </c>
      <c r="I47">
        <f t="shared" si="13"/>
        <v>4.314975073620941E-4</v>
      </c>
    </row>
    <row r="48" spans="1:9" x14ac:dyDescent="0.15">
      <c r="A48">
        <v>1</v>
      </c>
      <c r="B48">
        <f>data!A48</f>
        <v>0.38630634546279907</v>
      </c>
      <c r="C48">
        <f t="shared" si="7"/>
        <v>0.14923259254482346</v>
      </c>
      <c r="D48">
        <f t="shared" si="8"/>
        <v>5.7649497449929706E-2</v>
      </c>
      <c r="E48">
        <f t="shared" si="9"/>
        <v>2.2270366677649298E-2</v>
      </c>
      <c r="F48">
        <f t="shared" si="10"/>
        <v>8.6031839633591983E-3</v>
      </c>
      <c r="G48">
        <f t="shared" si="11"/>
        <v>3.3234645562294513E-3</v>
      </c>
      <c r="H48">
        <f t="shared" si="12"/>
        <v>1.2838754469921426E-3</v>
      </c>
      <c r="I48">
        <f t="shared" si="13"/>
        <v>4.959692319569522E-4</v>
      </c>
    </row>
    <row r="49" spans="1:9" x14ac:dyDescent="0.15">
      <c r="A49">
        <v>1</v>
      </c>
      <c r="B49">
        <f>data!A49</f>
        <v>0.38914555311203003</v>
      </c>
      <c r="C49">
        <f t="shared" si="7"/>
        <v>0.15143426150686778</v>
      </c>
      <c r="D49">
        <f t="shared" si="8"/>
        <v>5.8929969454201862E-2</v>
      </c>
      <c r="E49">
        <f t="shared" si="9"/>
        <v>2.2932335558130418E-2</v>
      </c>
      <c r="F49">
        <f t="shared" si="10"/>
        <v>8.9240164049193358E-3</v>
      </c>
      <c r="G49">
        <f t="shared" si="11"/>
        <v>3.4727412998731646E-3</v>
      </c>
      <c r="H49">
        <f t="shared" si="12"/>
        <v>1.3514018339541329E-3</v>
      </c>
      <c r="I49">
        <f t="shared" si="13"/>
        <v>5.258920141506928E-4</v>
      </c>
    </row>
    <row r="50" spans="1:9" x14ac:dyDescent="0.15">
      <c r="A50">
        <v>1</v>
      </c>
      <c r="B50">
        <f>data!A50</f>
        <v>0.39173275232315063</v>
      </c>
      <c r="C50">
        <f t="shared" si="7"/>
        <v>0.15345454924267088</v>
      </c>
      <c r="D50">
        <f t="shared" si="8"/>
        <v>6.0113172931339914E-2</v>
      </c>
      <c r="E50">
        <f t="shared" si="9"/>
        <v>2.3548298683271303E-2</v>
      </c>
      <c r="F50">
        <f t="shared" si="10"/>
        <v>9.224639855725492E-3</v>
      </c>
      <c r="G50">
        <f t="shared" si="11"/>
        <v>3.6135935598731778E-3</v>
      </c>
      <c r="H50">
        <f t="shared" si="12"/>
        <v>1.4155629509863318E-3</v>
      </c>
      <c r="I50">
        <f t="shared" si="13"/>
        <v>5.5452237087655701E-4</v>
      </c>
    </row>
    <row r="51" spans="1:9" x14ac:dyDescent="0.15">
      <c r="A51">
        <v>1</v>
      </c>
      <c r="B51">
        <f>data!A51</f>
        <v>0.40748041868209839</v>
      </c>
      <c r="C51">
        <f t="shared" si="7"/>
        <v>0.1660402916093382</v>
      </c>
      <c r="D51">
        <f t="shared" si="8"/>
        <v>6.7658167543070843E-2</v>
      </c>
      <c r="E51">
        <f t="shared" si="9"/>
        <v>2.7569378437714065E-2</v>
      </c>
      <c r="F51">
        <f t="shared" si="10"/>
        <v>1.1233981868604942E-2</v>
      </c>
      <c r="G51">
        <f t="shared" si="11"/>
        <v>4.5776276352862437E-3</v>
      </c>
      <c r="H51">
        <f t="shared" si="12"/>
        <v>1.8652936253971829E-3</v>
      </c>
      <c r="I51">
        <f t="shared" si="13"/>
        <v>7.6007062744189321E-4</v>
      </c>
    </row>
    <row r="52" spans="1:9" x14ac:dyDescent="0.15">
      <c r="A52">
        <v>1</v>
      </c>
      <c r="B52">
        <f>data!A52</f>
        <v>0.41315895318984985</v>
      </c>
      <c r="C52">
        <f t="shared" si="7"/>
        <v>0.17070032060093254</v>
      </c>
      <c r="D52">
        <f t="shared" si="8"/>
        <v>7.0526365768653052E-2</v>
      </c>
      <c r="E52">
        <f t="shared" si="9"/>
        <v>2.9138599453261155E-2</v>
      </c>
      <c r="F52">
        <f t="shared" si="10"/>
        <v>1.203887324752771E-2</v>
      </c>
      <c r="G52">
        <f t="shared" si="11"/>
        <v>4.9739682685338371E-3</v>
      </c>
      <c r="H52">
        <f t="shared" si="12"/>
        <v>2.0550395230269701E-3</v>
      </c>
      <c r="I52">
        <f t="shared" si="13"/>
        <v>8.4905797809759127E-4</v>
      </c>
    </row>
    <row r="53" spans="1:9" x14ac:dyDescent="0.15">
      <c r="A53">
        <v>1</v>
      </c>
      <c r="B53">
        <f>data!A53</f>
        <v>0.41557079553604126</v>
      </c>
      <c r="C53">
        <f t="shared" si="7"/>
        <v>0.17269908610245821</v>
      </c>
      <c r="D53">
        <f t="shared" si="8"/>
        <v>7.176869659994585E-2</v>
      </c>
      <c r="E53">
        <f t="shared" si="9"/>
        <v>2.9824974340624276E-2</v>
      </c>
      <c r="F53">
        <f t="shared" si="10"/>
        <v>1.2394388313575248E-2</v>
      </c>
      <c r="G53">
        <f t="shared" si="11"/>
        <v>5.1507458116550782E-3</v>
      </c>
      <c r="H53">
        <f t="shared" si="12"/>
        <v>2.1404995345534338E-3</v>
      </c>
      <c r="I53">
        <f t="shared" si="13"/>
        <v>8.8952909441889644E-4</v>
      </c>
    </row>
    <row r="54" spans="1:9" x14ac:dyDescent="0.15">
      <c r="A54">
        <v>1</v>
      </c>
      <c r="B54">
        <f>data!A54</f>
        <v>0.42467325925827026</v>
      </c>
      <c r="C54">
        <f t="shared" si="7"/>
        <v>0.18034737712904203</v>
      </c>
      <c r="D54">
        <f t="shared" si="8"/>
        <v>7.6588708444070702E-2</v>
      </c>
      <c r="E54">
        <f t="shared" si="9"/>
        <v>3.2525176437324915E-2</v>
      </c>
      <c r="F54">
        <f t="shared" si="10"/>
        <v>1.3812572685589067E-2</v>
      </c>
      <c r="G54">
        <f t="shared" si="11"/>
        <v>5.8658302611308685E-3</v>
      </c>
      <c r="H54">
        <f t="shared" si="12"/>
        <v>2.491061255250236E-3</v>
      </c>
      <c r="I54">
        <f t="shared" si="13"/>
        <v>1.0578871022791159E-3</v>
      </c>
    </row>
    <row r="55" spans="1:9" x14ac:dyDescent="0.15">
      <c r="A55">
        <v>1</v>
      </c>
      <c r="B55">
        <f>data!A55</f>
        <v>0.43931180238723755</v>
      </c>
      <c r="C55">
        <f t="shared" si="7"/>
        <v>0.19299485971672325</v>
      </c>
      <c r="D55">
        <f t="shared" si="8"/>
        <v>8.4784919673625753E-2</v>
      </c>
      <c r="E55">
        <f t="shared" si="9"/>
        <v>3.724701587707769E-2</v>
      </c>
      <c r="F55">
        <f t="shared" si="10"/>
        <v>1.6363053678505053E-2</v>
      </c>
      <c r="G55">
        <f t="shared" si="11"/>
        <v>7.1884826040631723E-3</v>
      </c>
      <c r="H55">
        <f t="shared" si="12"/>
        <v>3.1579852492202949E-3</v>
      </c>
      <c r="I55">
        <f t="shared" si="13"/>
        <v>1.3873401917472775E-3</v>
      </c>
    </row>
    <row r="56" spans="1:9" x14ac:dyDescent="0.15">
      <c r="A56">
        <v>1</v>
      </c>
      <c r="B56">
        <f>data!A56</f>
        <v>0.44069105386734009</v>
      </c>
      <c r="C56">
        <f t="shared" si="7"/>
        <v>0.19420860495870684</v>
      </c>
      <c r="D56">
        <f t="shared" si="8"/>
        <v>8.5585994789358452E-2</v>
      </c>
      <c r="E56">
        <f t="shared" si="9"/>
        <v>3.7716982240007052E-2</v>
      </c>
      <c r="F56">
        <f t="shared" si="10"/>
        <v>1.6621536652044456E-2</v>
      </c>
      <c r="G56">
        <f t="shared" si="11"/>
        <v>7.3249625040840913E-3</v>
      </c>
      <c r="H56">
        <f t="shared" si="12"/>
        <v>3.2280454454635689E-3</v>
      </c>
      <c r="I56">
        <f t="shared" si="13"/>
        <v>1.4225707492930074E-3</v>
      </c>
    </row>
    <row r="57" spans="1:9" x14ac:dyDescent="0.15">
      <c r="A57">
        <v>1</v>
      </c>
      <c r="B57">
        <f>data!A57</f>
        <v>0.45374935865402222</v>
      </c>
      <c r="C57">
        <f t="shared" si="7"/>
        <v>0.20588848047893649</v>
      </c>
      <c r="D57">
        <f t="shared" si="8"/>
        <v>9.3421765971568607E-2</v>
      </c>
      <c r="E57">
        <f t="shared" si="9"/>
        <v>4.239006639392541E-2</v>
      </c>
      <c r="F57">
        <f t="shared" si="10"/>
        <v>1.9234465439545077E-2</v>
      </c>
      <c r="G57">
        <f t="shared" si="11"/>
        <v>8.7276263572465332E-3</v>
      </c>
      <c r="H57">
        <f t="shared" si="12"/>
        <v>3.9601548621725552E-3</v>
      </c>
      <c r="I57">
        <f t="shared" si="13"/>
        <v>1.7969177288814043E-3</v>
      </c>
    </row>
    <row r="58" spans="1:9" x14ac:dyDescent="0.15">
      <c r="A58">
        <v>1</v>
      </c>
      <c r="B58">
        <f>data!A58</f>
        <v>0.46926742792129517</v>
      </c>
      <c r="C58">
        <f t="shared" si="7"/>
        <v>0.22021191890786795</v>
      </c>
      <c r="D58">
        <f t="shared" si="8"/>
        <v>0.10333828078350803</v>
      </c>
      <c r="E58">
        <f t="shared" si="9"/>
        <v>4.8493289229085412E-2</v>
      </c>
      <c r="F58">
        <f t="shared" si="10"/>
        <v>2.2756321107976357E-2</v>
      </c>
      <c r="G58">
        <f t="shared" si="11"/>
        <v>1.0678800275291143E-2</v>
      </c>
      <c r="H58">
        <f t="shared" si="12"/>
        <v>5.0112131384710936E-3</v>
      </c>
      <c r="I58">
        <f t="shared" si="13"/>
        <v>2.3515991002557315E-3</v>
      </c>
    </row>
    <row r="59" spans="1:9" x14ac:dyDescent="0.15">
      <c r="A59">
        <v>1</v>
      </c>
      <c r="B59">
        <f>data!A59</f>
        <v>0.47840303182601929</v>
      </c>
      <c r="C59">
        <f t="shared" si="7"/>
        <v>0.22886946086032722</v>
      </c>
      <c r="D59">
        <f t="shared" si="8"/>
        <v>0.109491843967967</v>
      </c>
      <c r="E59">
        <f t="shared" si="9"/>
        <v>5.2381230114496857E-2</v>
      </c>
      <c r="F59">
        <f t="shared" si="10"/>
        <v>2.5059339297551681E-2</v>
      </c>
      <c r="G59">
        <f t="shared" si="11"/>
        <v>1.1988463895505633E-2</v>
      </c>
      <c r="H59">
        <f t="shared" si="12"/>
        <v>5.7353174745466643E-3</v>
      </c>
      <c r="I59">
        <f t="shared" si="13"/>
        <v>2.7437932683078725E-3</v>
      </c>
    </row>
    <row r="60" spans="1:9" x14ac:dyDescent="0.15">
      <c r="A60">
        <v>1</v>
      </c>
      <c r="B60">
        <f>data!A60</f>
        <v>0.48205059766769409</v>
      </c>
      <c r="C60">
        <f t="shared" si="7"/>
        <v>0.23237277871178108</v>
      </c>
      <c r="D60">
        <f t="shared" si="8"/>
        <v>0.11201543685971689</v>
      </c>
      <c r="E60">
        <f t="shared" si="9"/>
        <v>5.3997108286234378E-2</v>
      </c>
      <c r="F60">
        <f t="shared" si="10"/>
        <v>2.602933832170648E-2</v>
      </c>
      <c r="G60">
        <f t="shared" si="11"/>
        <v>1.2547458094873221E-2</v>
      </c>
      <c r="H60">
        <f t="shared" si="12"/>
        <v>6.0485096738439829E-3</v>
      </c>
      <c r="I60">
        <f t="shared" si="13"/>
        <v>2.9156877032753214E-3</v>
      </c>
    </row>
    <row r="61" spans="1:9" x14ac:dyDescent="0.15">
      <c r="A61">
        <v>1</v>
      </c>
      <c r="B61">
        <f>data!A61</f>
        <v>0.4887731671333313</v>
      </c>
      <c r="C61">
        <f t="shared" si="7"/>
        <v>0.23889920890954741</v>
      </c>
      <c r="D61">
        <f t="shared" si="8"/>
        <v>0.11676752296436685</v>
      </c>
      <c r="E61">
        <f t="shared" si="9"/>
        <v>5.7072832017607579E-2</v>
      </c>
      <c r="F61">
        <f t="shared" si="10"/>
        <v>2.7895668862514652E-2</v>
      </c>
      <c r="G61">
        <f t="shared" si="11"/>
        <v>1.3634654419233939E-2</v>
      </c>
      <c r="H61">
        <f t="shared" si="12"/>
        <v>6.6642532232574448E-3</v>
      </c>
      <c r="I61">
        <f t="shared" si="13"/>
        <v>3.2573081545100527E-3</v>
      </c>
    </row>
    <row r="62" spans="1:9" x14ac:dyDescent="0.15">
      <c r="A62">
        <v>1</v>
      </c>
      <c r="B62">
        <f>data!A62</f>
        <v>0.50103539228439331</v>
      </c>
      <c r="C62">
        <f t="shared" si="7"/>
        <v>0.25103646432157589</v>
      </c>
      <c r="D62">
        <f t="shared" si="8"/>
        <v>0.12577815337904788</v>
      </c>
      <c r="E62">
        <f t="shared" si="9"/>
        <v>6.3019306419077839E-2</v>
      </c>
      <c r="F62">
        <f t="shared" si="10"/>
        <v>3.1574902913173053E-2</v>
      </c>
      <c r="G62">
        <f t="shared" si="11"/>
        <v>1.5820143867443293E-2</v>
      </c>
      <c r="H62">
        <f t="shared" si="12"/>
        <v>7.926451988619989E-3</v>
      </c>
      <c r="I62">
        <f t="shared" si="13"/>
        <v>3.9714329815416253E-3</v>
      </c>
    </row>
    <row r="63" spans="1:9" x14ac:dyDescent="0.15">
      <c r="A63">
        <v>1</v>
      </c>
      <c r="B63">
        <f>data!A63</f>
        <v>0.52555698156356812</v>
      </c>
      <c r="C63">
        <f t="shared" si="7"/>
        <v>0.27621014087020868</v>
      </c>
      <c r="D63">
        <f t="shared" si="8"/>
        <v>0.1451641679129948</v>
      </c>
      <c r="E63">
        <f t="shared" si="9"/>
        <v>7.6292041919540518E-2</v>
      </c>
      <c r="F63">
        <f t="shared" si="10"/>
        <v>4.0095815268554921E-2</v>
      </c>
      <c r="G63">
        <f t="shared" si="11"/>
        <v>2.1072635645872154E-2</v>
      </c>
      <c r="H63">
        <f t="shared" si="12"/>
        <v>1.1074870783633417E-2</v>
      </c>
      <c r="I63">
        <f t="shared" si="13"/>
        <v>5.8204756602529273E-3</v>
      </c>
    </row>
    <row r="64" spans="1:9" x14ac:dyDescent="0.15">
      <c r="A64">
        <v>1</v>
      </c>
      <c r="B64">
        <f>data!A64</f>
        <v>0.53212743997573853</v>
      </c>
      <c r="C64">
        <f t="shared" si="7"/>
        <v>0.28315961237513321</v>
      </c>
      <c r="D64">
        <f t="shared" si="8"/>
        <v>0.15067699963770209</v>
      </c>
      <c r="E64">
        <f t="shared" si="9"/>
        <v>8.0179366080435688E-2</v>
      </c>
      <c r="F64">
        <f t="shared" si="10"/>
        <v>4.2665640811259807E-2</v>
      </c>
      <c r="G64">
        <f t="shared" si="11"/>
        <v>2.2703558219820074E-2</v>
      </c>
      <c r="H64">
        <f t="shared" si="12"/>
        <v>1.2081186313852991E-2</v>
      </c>
      <c r="I64">
        <f t="shared" si="13"/>
        <v>6.4287307450605208E-3</v>
      </c>
    </row>
    <row r="65" spans="1:9" x14ac:dyDescent="0.15">
      <c r="A65">
        <v>1</v>
      </c>
      <c r="B65">
        <f>data!A65</f>
        <v>0.54058939218521118</v>
      </c>
      <c r="C65">
        <f t="shared" si="7"/>
        <v>0.29223689094317606</v>
      </c>
      <c r="D65">
        <f t="shared" si="8"/>
        <v>0.15798016324906738</v>
      </c>
      <c r="E65">
        <f t="shared" si="9"/>
        <v>8.5402400428133782E-2</v>
      </c>
      <c r="F65">
        <f t="shared" si="10"/>
        <v>4.616763173860286E-2</v>
      </c>
      <c r="G65">
        <f t="shared" si="11"/>
        <v>2.4957731980201986E-2</v>
      </c>
      <c r="H65">
        <f t="shared" si="12"/>
        <v>1.3491885161498797E-2</v>
      </c>
      <c r="I65">
        <f t="shared" si="13"/>
        <v>7.2935699988873051E-3</v>
      </c>
    </row>
    <row r="66" spans="1:9" x14ac:dyDescent="0.15">
      <c r="A66">
        <v>1</v>
      </c>
      <c r="B66">
        <f>data!A66</f>
        <v>0.5809670090675354</v>
      </c>
      <c r="C66">
        <f t="shared" ref="C66:C97" si="14">B66^2</f>
        <v>0.33752266562487776</v>
      </c>
      <c r="D66">
        <f t="shared" ref="D66:D101" si="15">B66^3</f>
        <v>0.19608953354058709</v>
      </c>
      <c r="E66">
        <f t="shared" ref="E66:E101" si="16">B66^4</f>
        <v>0.11392154981052303</v>
      </c>
      <c r="F66">
        <f t="shared" ref="F66:F101" si="17">B66^5</f>
        <v>6.6184662061757826E-2</v>
      </c>
      <c r="G66">
        <f t="shared" ref="G66:G101" si="18">B66^6</f>
        <v>3.8451105164165021E-2</v>
      </c>
      <c r="H66">
        <f t="shared" ref="H66:H101" si="19">B66^7</f>
        <v>2.233882356256622E-2</v>
      </c>
      <c r="I66">
        <f t="shared" ref="I66:I101" si="20">B66^8</f>
        <v>1.2978119511231481E-2</v>
      </c>
    </row>
    <row r="67" spans="1:9" x14ac:dyDescent="0.15">
      <c r="A67">
        <v>1</v>
      </c>
      <c r="B67">
        <f>data!A67</f>
        <v>0.58969837427139282</v>
      </c>
      <c r="C67">
        <f t="shared" si="14"/>
        <v>0.34774417261832369</v>
      </c>
      <c r="D67">
        <f t="shared" si="15"/>
        <v>0.20506417325537607</v>
      </c>
      <c r="E67">
        <f t="shared" si="16"/>
        <v>0.12092600959000251</v>
      </c>
      <c r="F67">
        <f t="shared" si="17"/>
        <v>7.1309871262351332E-2</v>
      </c>
      <c r="G67">
        <f t="shared" si="18"/>
        <v>4.2051315152910898E-2</v>
      </c>
      <c r="H67">
        <f t="shared" si="19"/>
        <v>2.4797592181645543E-2</v>
      </c>
      <c r="I67">
        <f t="shared" si="20"/>
        <v>1.4623099795361378E-2</v>
      </c>
    </row>
    <row r="68" spans="1:9" x14ac:dyDescent="0.15">
      <c r="A68">
        <v>1</v>
      </c>
      <c r="B68">
        <f>data!A68</f>
        <v>0.61758571863174438</v>
      </c>
      <c r="C68">
        <f t="shared" si="14"/>
        <v>0.38141211985788814</v>
      </c>
      <c r="D68">
        <f t="shared" si="15"/>
        <v>0.23555467813729086</v>
      </c>
      <c r="E68">
        <f t="shared" si="16"/>
        <v>0.14547520517448803</v>
      </c>
      <c r="F68">
        <f t="shared" si="17"/>
        <v>8.9843409130786644E-2</v>
      </c>
      <c r="G68">
        <f t="shared" si="18"/>
        <v>5.5486006392362695E-2</v>
      </c>
      <c r="H68">
        <f t="shared" si="19"/>
        <v>3.4267365131832879E-2</v>
      </c>
      <c r="I68">
        <f t="shared" si="20"/>
        <v>2.1163035320559388E-2</v>
      </c>
    </row>
    <row r="69" spans="1:9" x14ac:dyDescent="0.15">
      <c r="A69">
        <v>1</v>
      </c>
      <c r="B69">
        <f>data!A69</f>
        <v>0.62008136510848999</v>
      </c>
      <c r="C69">
        <f t="shared" si="14"/>
        <v>0.38450089935480847</v>
      </c>
      <c r="D69">
        <f t="shared" si="15"/>
        <v>0.23842184255737175</v>
      </c>
      <c r="E69">
        <f t="shared" si="16"/>
        <v>0.14784094160465655</v>
      </c>
      <c r="F69">
        <f t="shared" si="17"/>
        <v>9.167341288913998E-2</v>
      </c>
      <c r="G69">
        <f t="shared" si="18"/>
        <v>5.6844975008452162E-2</v>
      </c>
      <c r="H69">
        <f t="shared" si="19"/>
        <v>3.5248509702799018E-2</v>
      </c>
      <c r="I69">
        <f t="shared" si="20"/>
        <v>2.1856944014551467E-2</v>
      </c>
    </row>
    <row r="70" spans="1:9" x14ac:dyDescent="0.15">
      <c r="A70">
        <v>1</v>
      </c>
      <c r="B70">
        <f>data!A70</f>
        <v>0.62144607305526733</v>
      </c>
      <c r="C70">
        <f t="shared" si="14"/>
        <v>0.38619522171581266</v>
      </c>
      <c r="D70">
        <f t="shared" si="15"/>
        <v>0.23999950396800007</v>
      </c>
      <c r="E70">
        <f t="shared" si="16"/>
        <v>0.1491467492761257</v>
      </c>
      <c r="F70">
        <f t="shared" si="17"/>
        <v>9.2686661646606855E-2</v>
      </c>
      <c r="G70">
        <f t="shared" si="18"/>
        <v>5.7599761904886089E-2</v>
      </c>
      <c r="H70">
        <f t="shared" si="19"/>
        <v>3.5795145844709844E-2</v>
      </c>
      <c r="I70">
        <f t="shared" si="20"/>
        <v>2.2244752819635501E-2</v>
      </c>
    </row>
    <row r="71" spans="1:9" x14ac:dyDescent="0.15">
      <c r="A71">
        <v>1</v>
      </c>
      <c r="B71">
        <f>data!A71</f>
        <v>0.6245463490486145</v>
      </c>
      <c r="C71">
        <f t="shared" si="14"/>
        <v>0.39005814210995382</v>
      </c>
      <c r="D71">
        <f t="shared" si="15"/>
        <v>0.24360938857145731</v>
      </c>
      <c r="E71">
        <f t="shared" si="16"/>
        <v>0.15214535422626893</v>
      </c>
      <c r="F71">
        <f t="shared" si="17"/>
        <v>9.5021825506724444E-2</v>
      </c>
      <c r="G71">
        <f t="shared" si="18"/>
        <v>5.934553420015927E-2</v>
      </c>
      <c r="H71">
        <f t="shared" si="19"/>
        <v>3.7064036717049165E-2</v>
      </c>
      <c r="I71">
        <f t="shared" si="20"/>
        <v>2.314820881263685E-2</v>
      </c>
    </row>
    <row r="72" spans="1:9" x14ac:dyDescent="0.15">
      <c r="A72">
        <v>1</v>
      </c>
      <c r="B72">
        <f>data!A72</f>
        <v>0.63275164365768433</v>
      </c>
      <c r="C72">
        <f t="shared" si="14"/>
        <v>0.40037464255150113</v>
      </c>
      <c r="D72">
        <f t="shared" si="15"/>
        <v>0.25333771315332015</v>
      </c>
      <c r="E72">
        <f t="shared" si="16"/>
        <v>0.16029985439824229</v>
      </c>
      <c r="F72">
        <f t="shared" si="17"/>
        <v>0.10142999634857529</v>
      </c>
      <c r="G72">
        <f t="shared" si="18"/>
        <v>6.4179996905753933E-2</v>
      </c>
      <c r="H72">
        <f t="shared" si="19"/>
        <v>4.060999853206089E-2</v>
      </c>
      <c r="I72">
        <f t="shared" si="20"/>
        <v>2.5696043320097679E-2</v>
      </c>
    </row>
    <row r="73" spans="1:9" x14ac:dyDescent="0.15">
      <c r="A73">
        <v>1</v>
      </c>
      <c r="B73">
        <f>data!A73</f>
        <v>0.64308708906173706</v>
      </c>
      <c r="C73">
        <f t="shared" si="14"/>
        <v>0.41356100411789853</v>
      </c>
      <c r="D73">
        <f t="shared" si="15"/>
        <v>0.26595574228762842</v>
      </c>
      <c r="E73">
        <f t="shared" si="16"/>
        <v>0.1710327041270045</v>
      </c>
      <c r="F73">
        <f t="shared" si="17"/>
        <v>0.10998892383139267</v>
      </c>
      <c r="G73">
        <f t="shared" si="18"/>
        <v>7.0732456855763431E-2</v>
      </c>
      <c r="H73">
        <f t="shared" si="19"/>
        <v>4.5487129781557813E-2</v>
      </c>
      <c r="I73">
        <f t="shared" si="20"/>
        <v>2.9252185880995461E-2</v>
      </c>
    </row>
    <row r="74" spans="1:9" x14ac:dyDescent="0.15">
      <c r="A74">
        <v>1</v>
      </c>
      <c r="B74">
        <f>data!A74</f>
        <v>0.64815360307693481</v>
      </c>
      <c r="C74">
        <f t="shared" si="14"/>
        <v>0.42010309318161276</v>
      </c>
      <c r="D74">
        <f t="shared" si="15"/>
        <v>0.27229133350942758</v>
      </c>
      <c r="E74">
        <f t="shared" si="16"/>
        <v>0.17648660890075882</v>
      </c>
      <c r="F74">
        <f t="shared" si="17"/>
        <v>0.11439043145385666</v>
      </c>
      <c r="G74">
        <f t="shared" si="18"/>
        <v>7.4142570304342334E-2</v>
      </c>
      <c r="H74">
        <f t="shared" si="19"/>
        <v>4.805577408414443E-2</v>
      </c>
      <c r="I74">
        <f t="shared" si="20"/>
        <v>3.1147523121289402E-2</v>
      </c>
    </row>
    <row r="75" spans="1:9" x14ac:dyDescent="0.15">
      <c r="A75">
        <v>1</v>
      </c>
      <c r="B75">
        <f>data!A75</f>
        <v>0.64856415987014771</v>
      </c>
      <c r="C75">
        <f t="shared" si="14"/>
        <v>0.42063546946807051</v>
      </c>
      <c r="D75">
        <f t="shared" si="15"/>
        <v>0.27280908986714431</v>
      </c>
      <c r="E75">
        <f t="shared" si="16"/>
        <v>0.17693419817462408</v>
      </c>
      <c r="F75">
        <f t="shared" si="17"/>
        <v>0.11475317959142328</v>
      </c>
      <c r="G75">
        <f t="shared" si="18"/>
        <v>7.442479951413962E-2</v>
      </c>
      <c r="H75">
        <f t="shared" si="19"/>
        <v>4.8269257570392139E-2</v>
      </c>
      <c r="I75">
        <f t="shared" si="20"/>
        <v>3.1305710483697145E-2</v>
      </c>
    </row>
    <row r="76" spans="1:9" x14ac:dyDescent="0.15">
      <c r="A76">
        <v>1</v>
      </c>
      <c r="B76">
        <f>data!A76</f>
        <v>0.65548282861709595</v>
      </c>
      <c r="C76">
        <f t="shared" si="14"/>
        <v>0.42965773861186918</v>
      </c>
      <c r="D76">
        <f t="shared" si="15"/>
        <v>0.28163326984253284</v>
      </c>
      <c r="E76">
        <f t="shared" si="16"/>
        <v>0.18460577234906531</v>
      </c>
      <c r="F76">
        <f t="shared" si="17"/>
        <v>0.121005913838409</v>
      </c>
      <c r="G76">
        <f t="shared" si="18"/>
        <v>7.9317298682196932E-2</v>
      </c>
      <c r="H76">
        <f t="shared" si="19"/>
        <v>5.1991127298473494E-2</v>
      </c>
      <c r="I76">
        <f t="shared" si="20"/>
        <v>3.4079291184594927E-2</v>
      </c>
    </row>
    <row r="77" spans="1:9" x14ac:dyDescent="0.15">
      <c r="A77">
        <v>1</v>
      </c>
      <c r="B77">
        <f>data!A77</f>
        <v>0.65580981969833374</v>
      </c>
      <c r="C77">
        <f t="shared" si="14"/>
        <v>0.43008651961276101</v>
      </c>
      <c r="D77">
        <f t="shared" si="15"/>
        <v>0.28205496288192866</v>
      </c>
      <c r="E77">
        <f t="shared" si="16"/>
        <v>0.18497441435261786</v>
      </c>
      <c r="F77">
        <f t="shared" si="17"/>
        <v>0.12130803732539519</v>
      </c>
      <c r="G77">
        <f t="shared" si="18"/>
        <v>7.9555002086326154E-2</v>
      </c>
      <c r="H77">
        <f t="shared" si="19"/>
        <v>5.2172951574334124E-2</v>
      </c>
      <c r="I77">
        <f t="shared" si="20"/>
        <v>3.4215533965093956E-2</v>
      </c>
    </row>
    <row r="78" spans="1:9" x14ac:dyDescent="0.15">
      <c r="A78">
        <v>1</v>
      </c>
      <c r="B78">
        <f>data!A78</f>
        <v>0.66486150026321411</v>
      </c>
      <c r="C78">
        <f t="shared" si="14"/>
        <v>0.44204081453225186</v>
      </c>
      <c r="D78">
        <f t="shared" si="15"/>
        <v>0.29389591912748614</v>
      </c>
      <c r="E78">
        <f t="shared" si="16"/>
        <v>0.19540008171233669</v>
      </c>
      <c r="F78">
        <f t="shared" si="17"/>
        <v>0.1299139914788188</v>
      </c>
      <c r="G78">
        <f t="shared" si="18"/>
        <v>8.6374811279789881E-2</v>
      </c>
      <c r="H78">
        <f t="shared" si="19"/>
        <v>5.7427286612433084E-2</v>
      </c>
      <c r="I78">
        <f t="shared" si="20"/>
        <v>3.8181191933187857E-2</v>
      </c>
    </row>
    <row r="79" spans="1:9" x14ac:dyDescent="0.15">
      <c r="A79">
        <v>1</v>
      </c>
      <c r="B79">
        <f>data!A79</f>
        <v>0.68320339918136597</v>
      </c>
      <c r="C79">
        <f t="shared" si="14"/>
        <v>0.46676688465297289</v>
      </c>
      <c r="D79">
        <f t="shared" si="15"/>
        <v>0.31889672222020765</v>
      </c>
      <c r="E79">
        <f t="shared" si="16"/>
        <v>0.2178713246086417</v>
      </c>
      <c r="F79">
        <f t="shared" si="17"/>
        <v>0.1488504295567708</v>
      </c>
      <c r="G79">
        <f t="shared" si="18"/>
        <v>0.10169511944279228</v>
      </c>
      <c r="H79">
        <f t="shared" si="19"/>
        <v>6.9478451283470702E-2</v>
      </c>
      <c r="I79">
        <f t="shared" si="20"/>
        <v>4.7467914086724121E-2</v>
      </c>
    </row>
    <row r="80" spans="1:9" x14ac:dyDescent="0.15">
      <c r="A80">
        <v>1</v>
      </c>
      <c r="B80">
        <f>data!A80</f>
        <v>0.69225198030471802</v>
      </c>
      <c r="C80">
        <f t="shared" si="14"/>
        <v>0.4792128042358037</v>
      </c>
      <c r="D80">
        <f t="shared" si="15"/>
        <v>0.33173601271961228</v>
      </c>
      <c r="E80">
        <f t="shared" si="16"/>
        <v>0.22964491174354273</v>
      </c>
      <c r="F80">
        <f t="shared" si="17"/>
        <v>0.15897214492136966</v>
      </c>
      <c r="G80">
        <f t="shared" si="18"/>
        <v>0.11004878213510676</v>
      </c>
      <c r="H80">
        <f t="shared" si="19"/>
        <v>7.6181487363150127E-2</v>
      </c>
      <c r="I80">
        <f t="shared" si="20"/>
        <v>5.2736785489699532E-2</v>
      </c>
    </row>
    <row r="81" spans="1:9" x14ac:dyDescent="0.15">
      <c r="A81">
        <v>1</v>
      </c>
      <c r="B81">
        <f>data!A81</f>
        <v>0.69308358430862427</v>
      </c>
      <c r="C81">
        <f t="shared" si="14"/>
        <v>0.48036485483808988</v>
      </c>
      <c r="D81">
        <f t="shared" si="15"/>
        <v>0.33293299536707532</v>
      </c>
      <c r="E81">
        <f t="shared" si="16"/>
        <v>0.23075039376361917</v>
      </c>
      <c r="F81">
        <f t="shared" si="17"/>
        <v>0.1599293099903156</v>
      </c>
      <c r="G81">
        <f t="shared" si="18"/>
        <v>0.110844379404093</v>
      </c>
      <c r="H81">
        <f t="shared" si="19"/>
        <v>7.6824419777853828E-2</v>
      </c>
      <c r="I81">
        <f t="shared" si="20"/>
        <v>5.3245744222065294E-2</v>
      </c>
    </row>
    <row r="82" spans="1:9" x14ac:dyDescent="0.15">
      <c r="A82">
        <v>1</v>
      </c>
      <c r="B82">
        <f>data!A82</f>
        <v>0.72963422536849976</v>
      </c>
      <c r="C82">
        <f t="shared" si="14"/>
        <v>0.53236610282909069</v>
      </c>
      <c r="D82">
        <f t="shared" si="15"/>
        <v>0.38843252905015069</v>
      </c>
      <c r="E82">
        <f t="shared" si="16"/>
        <v>0.28341366744143398</v>
      </c>
      <c r="F82">
        <f t="shared" si="17"/>
        <v>0.20678831170247627</v>
      </c>
      <c r="G82">
        <f t="shared" si="18"/>
        <v>0.15087982962429616</v>
      </c>
      <c r="H82">
        <f t="shared" si="19"/>
        <v>0.11008708761165455</v>
      </c>
      <c r="I82">
        <f t="shared" si="20"/>
        <v>8.0323306892603738E-2</v>
      </c>
    </row>
    <row r="83" spans="1:9" x14ac:dyDescent="0.15">
      <c r="A83">
        <v>1</v>
      </c>
      <c r="B83">
        <f>data!A83</f>
        <v>0.73003000020980835</v>
      </c>
      <c r="C83">
        <f t="shared" si="14"/>
        <v>0.53294380120633278</v>
      </c>
      <c r="D83">
        <f t="shared" si="15"/>
        <v>0.38906496330647516</v>
      </c>
      <c r="E83">
        <f t="shared" si="16"/>
        <v>0.28402909524425513</v>
      </c>
      <c r="F83">
        <f t="shared" si="17"/>
        <v>0.20734976046075523</v>
      </c>
      <c r="G83">
        <f t="shared" si="18"/>
        <v>0.15137154567266886</v>
      </c>
      <c r="H83">
        <f t="shared" si="19"/>
        <v>0.11050576951917745</v>
      </c>
      <c r="I83">
        <f t="shared" si="20"/>
        <v>8.0672526945270148E-2</v>
      </c>
    </row>
    <row r="84" spans="1:9" x14ac:dyDescent="0.15">
      <c r="A84">
        <v>1</v>
      </c>
      <c r="B84">
        <f>data!A84</f>
        <v>0.73086768388748169</v>
      </c>
      <c r="C84">
        <f t="shared" si="14"/>
        <v>0.53416757135105186</v>
      </c>
      <c r="D84">
        <f t="shared" si="15"/>
        <v>0.39040581568114441</v>
      </c>
      <c r="E84">
        <f t="shared" si="16"/>
        <v>0.28533499428308107</v>
      </c>
      <c r="F84">
        <f t="shared" si="17"/>
        <v>0.2085421264037233</v>
      </c>
      <c r="G84">
        <f t="shared" si="18"/>
        <v>0.15241670091765969</v>
      </c>
      <c r="H84">
        <f t="shared" si="19"/>
        <v>0.11139644118546094</v>
      </c>
      <c r="I84">
        <f t="shared" si="20"/>
        <v>8.1416058962525906E-2</v>
      </c>
    </row>
    <row r="85" spans="1:9" x14ac:dyDescent="0.15">
      <c r="A85">
        <v>1</v>
      </c>
      <c r="B85">
        <f>data!A85</f>
        <v>0.74066585302352905</v>
      </c>
      <c r="C85">
        <f t="shared" si="14"/>
        <v>0.54858590583507194</v>
      </c>
      <c r="D85">
        <f t="shared" si="15"/>
        <v>0.40631884790201894</v>
      </c>
      <c r="E85">
        <f t="shared" si="16"/>
        <v>0.30094649608088642</v>
      </c>
      <c r="F85">
        <f t="shared" si="17"/>
        <v>0.22290079323419187</v>
      </c>
      <c r="G85">
        <f t="shared" si="18"/>
        <v>0.165095006160424</v>
      </c>
      <c r="H85">
        <f t="shared" si="19"/>
        <v>0.12228023356773522</v>
      </c>
      <c r="I85">
        <f t="shared" si="20"/>
        <v>9.0568793503362985E-2</v>
      </c>
    </row>
    <row r="86" spans="1:9" x14ac:dyDescent="0.15">
      <c r="A86">
        <v>1</v>
      </c>
      <c r="B86">
        <f>data!A86</f>
        <v>0.74683231115341187</v>
      </c>
      <c r="C86">
        <f t="shared" si="14"/>
        <v>0.5577585009827466</v>
      </c>
      <c r="D86">
        <f t="shared" si="15"/>
        <v>0.41655207035440717</v>
      </c>
      <c r="E86">
        <f t="shared" si="16"/>
        <v>0.31109454541852055</v>
      </c>
      <c r="F86">
        <f t="shared" si="17"/>
        <v>0.23233545834213376</v>
      </c>
      <c r="G86">
        <f t="shared" si="18"/>
        <v>0.17351562731654299</v>
      </c>
      <c r="H86">
        <f t="shared" si="19"/>
        <v>0.1295870769700479</v>
      </c>
      <c r="I86">
        <f t="shared" si="20"/>
        <v>9.6779816189155946E-2</v>
      </c>
    </row>
    <row r="87" spans="1:9" x14ac:dyDescent="0.15">
      <c r="A87">
        <v>1</v>
      </c>
      <c r="B87">
        <f>data!A87</f>
        <v>0.76620227098464966</v>
      </c>
      <c r="C87">
        <f t="shared" si="14"/>
        <v>0.58706592006203451</v>
      </c>
      <c r="D87">
        <f t="shared" si="15"/>
        <v>0.44981124116922366</v>
      </c>
      <c r="E87">
        <f t="shared" si="16"/>
        <v>0.3446463944982831</v>
      </c>
      <c r="F87">
        <f t="shared" si="17"/>
        <v>0.26406885015125597</v>
      </c>
      <c r="G87">
        <f t="shared" si="18"/>
        <v>0.20233015268219748</v>
      </c>
      <c r="H87">
        <f t="shared" si="19"/>
        <v>0.15502582247377061</v>
      </c>
      <c r="I87">
        <f t="shared" si="20"/>
        <v>0.11878113724066619</v>
      </c>
    </row>
    <row r="88" spans="1:9" x14ac:dyDescent="0.15">
      <c r="A88">
        <v>1</v>
      </c>
      <c r="B88">
        <f>data!A88</f>
        <v>0.80716830492019653</v>
      </c>
      <c r="C88">
        <f t="shared" si="14"/>
        <v>0.65152067246774337</v>
      </c>
      <c r="D88">
        <f t="shared" si="15"/>
        <v>0.52588683681625492</v>
      </c>
      <c r="E88">
        <f t="shared" si="16"/>
        <v>0.42447918665282053</v>
      </c>
      <c r="F88">
        <f t="shared" si="17"/>
        <v>0.34262614556446086</v>
      </c>
      <c r="G88">
        <f t="shared" si="18"/>
        <v>0.27655696513660638</v>
      </c>
      <c r="H88">
        <f t="shared" si="19"/>
        <v>0.22322801676318843</v>
      </c>
      <c r="I88">
        <f t="shared" si="20"/>
        <v>0.18018257990144004</v>
      </c>
    </row>
    <row r="89" spans="1:9" x14ac:dyDescent="0.15">
      <c r="A89">
        <v>1</v>
      </c>
      <c r="B89">
        <f>data!A89</f>
        <v>0.84615880250930786</v>
      </c>
      <c r="C89">
        <f t="shared" si="14"/>
        <v>0.71598471906398586</v>
      </c>
      <c r="D89">
        <f t="shared" si="15"/>
        <v>0.60583677249814549</v>
      </c>
      <c r="E89">
        <f t="shared" si="16"/>
        <v>0.51263411793313474</v>
      </c>
      <c r="F89">
        <f t="shared" si="17"/>
        <v>0.4337698713557166</v>
      </c>
      <c r="G89">
        <f t="shared" si="18"/>
        <v>0.36703819491096967</v>
      </c>
      <c r="H89">
        <f t="shared" si="19"/>
        <v>0.31057259948104404</v>
      </c>
      <c r="I89">
        <f t="shared" si="20"/>
        <v>0.26279373886908308</v>
      </c>
    </row>
    <row r="90" spans="1:9" x14ac:dyDescent="0.15">
      <c r="A90">
        <v>1</v>
      </c>
      <c r="B90">
        <f>data!A90</f>
        <v>0.85963970422744751</v>
      </c>
      <c r="C90">
        <f t="shared" si="14"/>
        <v>0.73898042108425344</v>
      </c>
      <c r="D90">
        <f t="shared" si="15"/>
        <v>0.63525691061074219</v>
      </c>
      <c r="E90">
        <f t="shared" si="16"/>
        <v>0.54609206274586053</v>
      </c>
      <c r="F90">
        <f t="shared" si="17"/>
        <v>0.46944241929980823</v>
      </c>
      <c r="G90">
        <f t="shared" si="18"/>
        <v>0.40355134247870456</v>
      </c>
      <c r="H90">
        <f t="shared" si="19"/>
        <v>0.34690875668898291</v>
      </c>
      <c r="I90">
        <f t="shared" si="20"/>
        <v>0.29821654099402889</v>
      </c>
    </row>
    <row r="91" spans="1:9" x14ac:dyDescent="0.15">
      <c r="A91">
        <v>1</v>
      </c>
      <c r="B91">
        <f>data!A91</f>
        <v>0.86089402437210083</v>
      </c>
      <c r="C91">
        <f t="shared" si="14"/>
        <v>0.74113852119959134</v>
      </c>
      <c r="D91">
        <f t="shared" si="15"/>
        <v>0.63804172413270377</v>
      </c>
      <c r="E91">
        <f t="shared" si="16"/>
        <v>0.54928630760591712</v>
      </c>
      <c r="F91">
        <f t="shared" si="17"/>
        <v>0.47287729988734967</v>
      </c>
      <c r="G91">
        <f t="shared" si="18"/>
        <v>0.40709724173423328</v>
      </c>
      <c r="H91">
        <f t="shared" si="19"/>
        <v>0.35046758274736606</v>
      </c>
      <c r="I91">
        <f t="shared" si="20"/>
        <v>0.30171544772334219</v>
      </c>
    </row>
    <row r="92" spans="1:9" x14ac:dyDescent="0.15">
      <c r="A92">
        <v>1</v>
      </c>
      <c r="B92">
        <f>data!A92</f>
        <v>0.86945098638534546</v>
      </c>
      <c r="C92">
        <f t="shared" si="14"/>
        <v>0.75594501772645017</v>
      </c>
      <c r="D92">
        <f t="shared" si="15"/>
        <v>0.65725714131534951</v>
      </c>
      <c r="E92">
        <f t="shared" si="16"/>
        <v>0.57145286982544308</v>
      </c>
      <c r="F92">
        <f t="shared" si="17"/>
        <v>0.4968502613424679</v>
      </c>
      <c r="G92">
        <f t="shared" si="18"/>
        <v>0.43198694981002539</v>
      </c>
      <c r="H92">
        <f t="shared" si="19"/>
        <v>0.37559147961792327</v>
      </c>
      <c r="I92">
        <f t="shared" si="20"/>
        <v>0.32655838243173479</v>
      </c>
    </row>
    <row r="93" spans="1:9" x14ac:dyDescent="0.15">
      <c r="A93">
        <v>1</v>
      </c>
      <c r="B93">
        <f>data!A93</f>
        <v>0.87774366140365601</v>
      </c>
      <c r="C93">
        <f t="shared" si="14"/>
        <v>0.77043393513429592</v>
      </c>
      <c r="D93">
        <f t="shared" si="15"/>
        <v>0.67624350309440373</v>
      </c>
      <c r="E93">
        <f t="shared" si="16"/>
        <v>0.59356844840651646</v>
      </c>
      <c r="F93">
        <f t="shared" si="17"/>
        <v>0.52100094319802281</v>
      </c>
      <c r="G93">
        <f t="shared" si="18"/>
        <v>0.45730527547739075</v>
      </c>
      <c r="H93">
        <f t="shared" si="19"/>
        <v>0.40139680687673251</v>
      </c>
      <c r="I93">
        <f t="shared" si="20"/>
        <v>0.35232350294371939</v>
      </c>
    </row>
    <row r="94" spans="1:9" x14ac:dyDescent="0.15">
      <c r="A94">
        <v>1</v>
      </c>
      <c r="B94">
        <f>data!A94</f>
        <v>0.90503507852554321</v>
      </c>
      <c r="C94">
        <f t="shared" si="14"/>
        <v>0.81908849336173617</v>
      </c>
      <c r="D94">
        <f t="shared" si="15"/>
        <v>0.74130381890900776</v>
      </c>
      <c r="E94">
        <f t="shared" si="16"/>
        <v>0.67090595995759894</v>
      </c>
      <c r="F94">
        <f t="shared" si="17"/>
        <v>0.60719342815348054</v>
      </c>
      <c r="G94">
        <f t="shared" si="18"/>
        <v>0.54953135192907898</v>
      </c>
      <c r="H94">
        <f t="shared" si="19"/>
        <v>0.49734515024538195</v>
      </c>
      <c r="I94">
        <f t="shared" si="20"/>
        <v>0.45011480710662738</v>
      </c>
    </row>
    <row r="95" spans="1:9" x14ac:dyDescent="0.15">
      <c r="A95">
        <v>1</v>
      </c>
      <c r="B95">
        <f>data!A95</f>
        <v>0.91664367914199829</v>
      </c>
      <c r="C95">
        <f t="shared" si="14"/>
        <v>0.84023563451097871</v>
      </c>
      <c r="D95">
        <f t="shared" si="15"/>
        <v>0.77019668336435487</v>
      </c>
      <c r="E95">
        <f t="shared" si="16"/>
        <v>0.70599592150206703</v>
      </c>
      <c r="F95">
        <f t="shared" si="17"/>
        <v>0.64714669894490018</v>
      </c>
      <c r="G95">
        <f t="shared" si="18"/>
        <v>0.59320293106545241</v>
      </c>
      <c r="H95">
        <f t="shared" si="19"/>
        <v>0.54375571720965343</v>
      </c>
      <c r="I95">
        <f t="shared" si="20"/>
        <v>0.4984302411775528</v>
      </c>
    </row>
    <row r="96" spans="1:9" x14ac:dyDescent="0.15">
      <c r="A96">
        <v>1</v>
      </c>
      <c r="B96">
        <f>data!A96</f>
        <v>0.919444739818573</v>
      </c>
      <c r="C96">
        <f t="shared" si="14"/>
        <v>0.84537862958004339</v>
      </c>
      <c r="D96">
        <f t="shared" si="15"/>
        <v>0.77727893412240479</v>
      </c>
      <c r="E96">
        <f t="shared" si="16"/>
        <v>0.7146650273506322</v>
      </c>
      <c r="F96">
        <f t="shared" si="17"/>
        <v>0.65709500012983535</v>
      </c>
      <c r="G96">
        <f t="shared" si="18"/>
        <v>0.60416254143046166</v>
      </c>
      <c r="H96">
        <f t="shared" si="19"/>
        <v>0.55549407071365864</v>
      </c>
      <c r="I96">
        <f t="shared" si="20"/>
        <v>0.51074610131807985</v>
      </c>
    </row>
    <row r="97" spans="1:9" x14ac:dyDescent="0.15">
      <c r="A97">
        <v>1</v>
      </c>
      <c r="B97">
        <f>data!A97</f>
        <v>0.93921607732772827</v>
      </c>
      <c r="C97">
        <f t="shared" si="14"/>
        <v>0.88212683991088525</v>
      </c>
      <c r="D97">
        <f t="shared" si="15"/>
        <v>0.82850771028660664</v>
      </c>
      <c r="E97">
        <f t="shared" si="16"/>
        <v>0.77814776169116462</v>
      </c>
      <c r="F97">
        <f t="shared" si="17"/>
        <v>0.73084888831692751</v>
      </c>
      <c r="G97">
        <f t="shared" si="18"/>
        <v>0.68642502600435562</v>
      </c>
      <c r="H97">
        <f t="shared" si="19"/>
        <v>0.64470142030339483</v>
      </c>
      <c r="I97">
        <f t="shared" si="20"/>
        <v>0.60551393902496953</v>
      </c>
    </row>
    <row r="98" spans="1:9" x14ac:dyDescent="0.15">
      <c r="A98">
        <v>1</v>
      </c>
      <c r="B98">
        <f>data!A98</f>
        <v>0.95681732892990112</v>
      </c>
      <c r="C98">
        <f t="shared" ref="C98:C101" si="21">B98^2</f>
        <v>0.9154994009405506</v>
      </c>
      <c r="D98">
        <f t="shared" si="15"/>
        <v>0.87596569144486225</v>
      </c>
      <c r="E98">
        <f t="shared" si="16"/>
        <v>0.83813915312250697</v>
      </c>
      <c r="F98">
        <f t="shared" si="17"/>
        <v>0.80194606576224647</v>
      </c>
      <c r="G98">
        <f t="shared" si="18"/>
        <v>0.76731589258847555</v>
      </c>
      <c r="H98">
        <f t="shared" si="19"/>
        <v>0.73418114279196811</v>
      </c>
      <c r="I98">
        <f t="shared" si="20"/>
        <v>0.70247723999691314</v>
      </c>
    </row>
    <row r="99" spans="1:9" x14ac:dyDescent="0.15">
      <c r="A99">
        <v>1</v>
      </c>
      <c r="B99">
        <f>data!A99</f>
        <v>0.96780687570571899</v>
      </c>
      <c r="C99">
        <f t="shared" si="21"/>
        <v>0.93665014866326501</v>
      </c>
      <c r="D99">
        <f t="shared" si="15"/>
        <v>0.90649645400709178</v>
      </c>
      <c r="E99">
        <f t="shared" si="16"/>
        <v>0.87731350099091643</v>
      </c>
      <c r="F99">
        <f t="shared" si="17"/>
        <v>0.84907003840846507</v>
      </c>
      <c r="G99">
        <f t="shared" si="18"/>
        <v>0.82173582112743138</v>
      </c>
      <c r="H99">
        <f t="shared" si="19"/>
        <v>0.79528157770081298</v>
      </c>
      <c r="I99">
        <f t="shared" si="20"/>
        <v>0.76967897902093874</v>
      </c>
    </row>
    <row r="100" spans="1:9" x14ac:dyDescent="0.15">
      <c r="A100">
        <v>1</v>
      </c>
      <c r="B100">
        <f>data!A100</f>
        <v>0.97954148054122925</v>
      </c>
      <c r="C100">
        <f t="shared" si="21"/>
        <v>0.9595015121009034</v>
      </c>
      <c r="D100">
        <f t="shared" si="15"/>
        <v>0.93987153174486715</v>
      </c>
      <c r="E100">
        <f t="shared" si="16"/>
        <v>0.92064315172392008</v>
      </c>
      <c r="F100">
        <f t="shared" si="17"/>
        <v>0.90180815588979224</v>
      </c>
      <c r="G100">
        <f t="shared" si="18"/>
        <v>0.88335849618444273</v>
      </c>
      <c r="H100">
        <f t="shared" si="19"/>
        <v>0.86528628920118289</v>
      </c>
      <c r="I100">
        <f t="shared" si="20"/>
        <v>0.84758381281615292</v>
      </c>
    </row>
    <row r="101" spans="1:9" x14ac:dyDescent="0.15">
      <c r="A101">
        <v>1</v>
      </c>
      <c r="B101">
        <f>data!A101</f>
        <v>0.99992483854293823</v>
      </c>
      <c r="C101">
        <f t="shared" si="21"/>
        <v>0.99984968273512109</v>
      </c>
      <c r="D101">
        <f t="shared" si="15"/>
        <v>0.99977453257612392</v>
      </c>
      <c r="E101">
        <f t="shared" si="16"/>
        <v>0.99969938806552228</v>
      </c>
      <c r="F101">
        <f t="shared" si="17"/>
        <v>0.9996242492028915</v>
      </c>
      <c r="G101">
        <f t="shared" si="18"/>
        <v>0.99954911598780716</v>
      </c>
      <c r="H101">
        <f t="shared" si="19"/>
        <v>0.99947398841984469</v>
      </c>
      <c r="I101">
        <f t="shared" si="20"/>
        <v>0.99939886649857967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9"/>
  <sheetViews>
    <sheetView topLeftCell="CM1" workbookViewId="0">
      <selection sqref="A1:CV9"/>
    </sheetView>
  </sheetViews>
  <sheetFormatPr defaultRowHeight="13.5" x14ac:dyDescent="0.15"/>
  <sheetData>
    <row r="1" spans="1:100" x14ac:dyDescent="0.15">
      <c r="A1">
        <f t="array" ref="A1:CV9">TRANSPOSE(dmatrix!A2:I101)</f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J1">
        <v>1</v>
      </c>
      <c r="CK1">
        <v>1</v>
      </c>
      <c r="CL1">
        <v>1</v>
      </c>
      <c r="CM1">
        <v>1</v>
      </c>
      <c r="CN1">
        <v>1</v>
      </c>
      <c r="CO1">
        <v>1</v>
      </c>
      <c r="CP1">
        <v>1</v>
      </c>
      <c r="CQ1">
        <v>1</v>
      </c>
      <c r="CR1">
        <v>1</v>
      </c>
      <c r="CS1">
        <v>1</v>
      </c>
      <c r="CT1">
        <v>1</v>
      </c>
      <c r="CU1">
        <v>1</v>
      </c>
      <c r="CV1">
        <v>1</v>
      </c>
    </row>
    <row r="2" spans="1:100" x14ac:dyDescent="0.15">
      <c r="A2">
        <v>1.7644107341766357E-2</v>
      </c>
      <c r="B2">
        <v>2.3567497730255127E-2</v>
      </c>
      <c r="C2">
        <v>2.4107873439788818E-2</v>
      </c>
      <c r="D2">
        <v>5.3646385669708252E-2</v>
      </c>
      <c r="E2">
        <v>5.5556595325469971E-2</v>
      </c>
      <c r="F2">
        <v>6.5468847751617432E-2</v>
      </c>
      <c r="G2">
        <v>7.1085751056671143E-2</v>
      </c>
      <c r="H2">
        <v>7.7021777629852295E-2</v>
      </c>
      <c r="I2">
        <v>8.3163440227508545E-2</v>
      </c>
      <c r="J2">
        <v>0.11446493864059448</v>
      </c>
      <c r="K2">
        <v>0.12163835763931274</v>
      </c>
      <c r="L2">
        <v>0.14504307508468628</v>
      </c>
      <c r="M2">
        <v>0.15510958433151245</v>
      </c>
      <c r="N2">
        <v>0.1586335301399231</v>
      </c>
      <c r="O2">
        <v>0.16517812013626099</v>
      </c>
      <c r="P2">
        <v>0.17063933610916138</v>
      </c>
      <c r="Q2">
        <v>0.17151635885238647</v>
      </c>
      <c r="R2">
        <v>0.17319387197494507</v>
      </c>
      <c r="S2">
        <v>0.17387574911117554</v>
      </c>
      <c r="T2">
        <v>0.17957693338394165</v>
      </c>
      <c r="U2">
        <v>0.1816677451133728</v>
      </c>
      <c r="V2">
        <v>0.18621045351028442</v>
      </c>
      <c r="W2">
        <v>0.19191259145736694</v>
      </c>
      <c r="X2">
        <v>0.2059064507484436</v>
      </c>
      <c r="Y2">
        <v>0.20945066213607788</v>
      </c>
      <c r="Z2">
        <v>0.22782808542251587</v>
      </c>
      <c r="AA2">
        <v>0.22804182767868042</v>
      </c>
      <c r="AB2">
        <v>0.2389792799949646</v>
      </c>
      <c r="AC2">
        <v>0.24754840135574341</v>
      </c>
      <c r="AD2">
        <v>0.24772590398788452</v>
      </c>
      <c r="AE2">
        <v>0.25755351781845093</v>
      </c>
      <c r="AF2">
        <v>0.26688545942306519</v>
      </c>
      <c r="AG2">
        <v>0.27735358476638794</v>
      </c>
      <c r="AH2">
        <v>0.28188914060592651</v>
      </c>
      <c r="AI2">
        <v>0.28612452745437622</v>
      </c>
      <c r="AJ2">
        <v>0.2961077094078064</v>
      </c>
      <c r="AK2">
        <v>0.29763609170913696</v>
      </c>
      <c r="AL2">
        <v>0.29863458871841431</v>
      </c>
      <c r="AM2">
        <v>0.30439835786819458</v>
      </c>
      <c r="AN2">
        <v>0.32076317071914673</v>
      </c>
      <c r="AO2">
        <v>0.32565110921859741</v>
      </c>
      <c r="AP2">
        <v>0.33718246221542358</v>
      </c>
      <c r="AQ2">
        <v>0.36816853284835815</v>
      </c>
      <c r="AR2">
        <v>0.37443023920059204</v>
      </c>
      <c r="AS2">
        <v>0.3769952654838562</v>
      </c>
      <c r="AT2">
        <v>0.37964028120040894</v>
      </c>
      <c r="AU2">
        <v>0.38630634546279907</v>
      </c>
      <c r="AV2">
        <v>0.38914555311203003</v>
      </c>
      <c r="AW2">
        <v>0.39173275232315063</v>
      </c>
      <c r="AX2">
        <v>0.40748041868209839</v>
      </c>
      <c r="AY2">
        <v>0.41315895318984985</v>
      </c>
      <c r="AZ2">
        <v>0.41557079553604126</v>
      </c>
      <c r="BA2">
        <v>0.42467325925827026</v>
      </c>
      <c r="BB2">
        <v>0.43931180238723755</v>
      </c>
      <c r="BC2">
        <v>0.44069105386734009</v>
      </c>
      <c r="BD2">
        <v>0.45374935865402222</v>
      </c>
      <c r="BE2">
        <v>0.46926742792129517</v>
      </c>
      <c r="BF2">
        <v>0.47840303182601929</v>
      </c>
      <c r="BG2">
        <v>0.48205059766769409</v>
      </c>
      <c r="BH2">
        <v>0.4887731671333313</v>
      </c>
      <c r="BI2">
        <v>0.50103539228439331</v>
      </c>
      <c r="BJ2">
        <v>0.52555698156356812</v>
      </c>
      <c r="BK2">
        <v>0.53212743997573853</v>
      </c>
      <c r="BL2">
        <v>0.54058939218521118</v>
      </c>
      <c r="BM2">
        <v>0.5809670090675354</v>
      </c>
      <c r="BN2">
        <v>0.58969837427139282</v>
      </c>
      <c r="BO2">
        <v>0.61758571863174438</v>
      </c>
      <c r="BP2">
        <v>0.62008136510848999</v>
      </c>
      <c r="BQ2">
        <v>0.62144607305526733</v>
      </c>
      <c r="BR2">
        <v>0.6245463490486145</v>
      </c>
      <c r="BS2">
        <v>0.63275164365768433</v>
      </c>
      <c r="BT2">
        <v>0.64308708906173706</v>
      </c>
      <c r="BU2">
        <v>0.64815360307693481</v>
      </c>
      <c r="BV2">
        <v>0.64856415987014771</v>
      </c>
      <c r="BW2">
        <v>0.65548282861709595</v>
      </c>
      <c r="BX2">
        <v>0.65580981969833374</v>
      </c>
      <c r="BY2">
        <v>0.66486150026321411</v>
      </c>
      <c r="BZ2">
        <v>0.68320339918136597</v>
      </c>
      <c r="CA2">
        <v>0.69225198030471802</v>
      </c>
      <c r="CB2">
        <v>0.69308358430862427</v>
      </c>
      <c r="CC2">
        <v>0.72963422536849976</v>
      </c>
      <c r="CD2">
        <v>0.73003000020980835</v>
      </c>
      <c r="CE2">
        <v>0.73086768388748169</v>
      </c>
      <c r="CF2">
        <v>0.74066585302352905</v>
      </c>
      <c r="CG2">
        <v>0.74683231115341187</v>
      </c>
      <c r="CH2">
        <v>0.76620227098464966</v>
      </c>
      <c r="CI2">
        <v>0.80716830492019653</v>
      </c>
      <c r="CJ2">
        <v>0.84615880250930786</v>
      </c>
      <c r="CK2">
        <v>0.85963970422744751</v>
      </c>
      <c r="CL2">
        <v>0.86089402437210083</v>
      </c>
      <c r="CM2">
        <v>0.86945098638534546</v>
      </c>
      <c r="CN2">
        <v>0.87774366140365601</v>
      </c>
      <c r="CO2">
        <v>0.90503507852554321</v>
      </c>
      <c r="CP2">
        <v>0.91664367914199829</v>
      </c>
      <c r="CQ2">
        <v>0.919444739818573</v>
      </c>
      <c r="CR2">
        <v>0.93921607732772827</v>
      </c>
      <c r="CS2">
        <v>0.95681732892990112</v>
      </c>
      <c r="CT2">
        <v>0.96780687570571899</v>
      </c>
      <c r="CU2">
        <v>0.97954148054122925</v>
      </c>
      <c r="CV2">
        <v>0.99992483854293823</v>
      </c>
    </row>
    <row r="3" spans="1:100" x14ac:dyDescent="0.15">
      <c r="A3">
        <v>3.1131452388777348E-4</v>
      </c>
      <c r="B3">
        <v>5.5542694926558056E-4</v>
      </c>
      <c r="C3">
        <v>5.8118956178887515E-4</v>
      </c>
      <c r="D3">
        <v>2.8779346954230789E-3</v>
      </c>
      <c r="E3">
        <v>3.0865352841580318E-3</v>
      </c>
      <c r="F3">
        <v>4.2861700259244628E-3</v>
      </c>
      <c r="G3">
        <v>5.0531840032910225E-3</v>
      </c>
      <c r="H3">
        <v>5.9323542292624154E-3</v>
      </c>
      <c r="I3">
        <v>6.9161577904743865E-3</v>
      </c>
      <c r="J3">
        <v>1.310222217799506E-2</v>
      </c>
      <c r="K3">
        <v>1.4795890049189353E-2</v>
      </c>
      <c r="L3">
        <v>2.1037493630021942E-2</v>
      </c>
      <c r="M3">
        <v>2.4058983151494573E-2</v>
      </c>
      <c r="N3">
        <v>2.5164596884653889E-2</v>
      </c>
      <c r="O3">
        <v>2.7283811371749067E-2</v>
      </c>
      <c r="P3">
        <v>2.9117783027775346E-2</v>
      </c>
      <c r="Q3">
        <v>2.9417861353980612E-2</v>
      </c>
      <c r="R3">
        <v>2.9996117289673663E-2</v>
      </c>
      <c r="S3">
        <v>3.0232776128972461E-2</v>
      </c>
      <c r="T3">
        <v>3.2247875003580617E-2</v>
      </c>
      <c r="U3">
        <v>3.3003169614577388E-2</v>
      </c>
      <c r="V3">
        <v>3.4674332996505797E-2</v>
      </c>
      <c r="W3">
        <v>3.6830442759882231E-2</v>
      </c>
      <c r="X3">
        <v>4.2397466459821231E-2</v>
      </c>
      <c r="Y3">
        <v>4.3869579869241448E-2</v>
      </c>
      <c r="Z3">
        <v>5.1905636507289188E-2</v>
      </c>
      <c r="AA3">
        <v>5.2003075171032975E-2</v>
      </c>
      <c r="AB3">
        <v>5.7111096266911687E-2</v>
      </c>
      <c r="AC3">
        <v>6.1280211013784225E-2</v>
      </c>
      <c r="AD3">
        <v>6.136812350661458E-2</v>
      </c>
      <c r="AE3">
        <v>6.633381454065912E-2</v>
      </c>
      <c r="AF3">
        <v>7.1227848451460574E-2</v>
      </c>
      <c r="AG3">
        <v>7.692501098276594E-2</v>
      </c>
      <c r="AH3">
        <v>7.9461487591547808E-2</v>
      </c>
      <c r="AI3">
        <v>8.1867245210990092E-2</v>
      </c>
      <c r="AJ3">
        <v>8.7679775570737917E-2</v>
      </c>
      <c r="AK3">
        <v>8.8587243087889789E-2</v>
      </c>
      <c r="AL3">
        <v>8.9182617579016465E-2</v>
      </c>
      <c r="AM3">
        <v>9.2658360272853457E-2</v>
      </c>
      <c r="AN3">
        <v>0.10288901168980047</v>
      </c>
      <c r="AO3">
        <v>0.10604864493530286</v>
      </c>
      <c r="AP3">
        <v>0.11369201282565555</v>
      </c>
      <c r="AQ3">
        <v>0.13554806857971258</v>
      </c>
      <c r="AR3">
        <v>0.14019800402781257</v>
      </c>
      <c r="AS3">
        <v>0.14212543019724322</v>
      </c>
      <c r="AT3">
        <v>0.14412674310992557</v>
      </c>
      <c r="AU3">
        <v>0.14923259254482346</v>
      </c>
      <c r="AV3">
        <v>0.15143426150686778</v>
      </c>
      <c r="AW3">
        <v>0.15345454924267088</v>
      </c>
      <c r="AX3">
        <v>0.1660402916093382</v>
      </c>
      <c r="AY3">
        <v>0.17070032060093254</v>
      </c>
      <c r="AZ3">
        <v>0.17269908610245821</v>
      </c>
      <c r="BA3">
        <v>0.18034737712904203</v>
      </c>
      <c r="BB3">
        <v>0.19299485971672325</v>
      </c>
      <c r="BC3">
        <v>0.19420860495870684</v>
      </c>
      <c r="BD3">
        <v>0.20588848047893649</v>
      </c>
      <c r="BE3">
        <v>0.22021191890786795</v>
      </c>
      <c r="BF3">
        <v>0.22886946086032722</v>
      </c>
      <c r="BG3">
        <v>0.23237277871178108</v>
      </c>
      <c r="BH3">
        <v>0.23889920890954741</v>
      </c>
      <c r="BI3">
        <v>0.25103646432157589</v>
      </c>
      <c r="BJ3">
        <v>0.27621014087020868</v>
      </c>
      <c r="BK3">
        <v>0.28315961237513321</v>
      </c>
      <c r="BL3">
        <v>0.29223689094317606</v>
      </c>
      <c r="BM3">
        <v>0.33752266562487776</v>
      </c>
      <c r="BN3">
        <v>0.34774417261832369</v>
      </c>
      <c r="BO3">
        <v>0.38141211985788814</v>
      </c>
      <c r="BP3">
        <v>0.38450089935480847</v>
      </c>
      <c r="BQ3">
        <v>0.38619522171581266</v>
      </c>
      <c r="BR3">
        <v>0.39005814210995382</v>
      </c>
      <c r="BS3">
        <v>0.40037464255150113</v>
      </c>
      <c r="BT3">
        <v>0.41356100411789853</v>
      </c>
      <c r="BU3">
        <v>0.42010309318161276</v>
      </c>
      <c r="BV3">
        <v>0.42063546946807051</v>
      </c>
      <c r="BW3">
        <v>0.42965773861186918</v>
      </c>
      <c r="BX3">
        <v>0.43008651961276101</v>
      </c>
      <c r="BY3">
        <v>0.44204081453225186</v>
      </c>
      <c r="BZ3">
        <v>0.46676688465297289</v>
      </c>
      <c r="CA3">
        <v>0.4792128042358037</v>
      </c>
      <c r="CB3">
        <v>0.48036485483808988</v>
      </c>
      <c r="CC3">
        <v>0.53236610282909069</v>
      </c>
      <c r="CD3">
        <v>0.53294380120633278</v>
      </c>
      <c r="CE3">
        <v>0.53416757135105186</v>
      </c>
      <c r="CF3">
        <v>0.54858590583507194</v>
      </c>
      <c r="CG3">
        <v>0.5577585009827466</v>
      </c>
      <c r="CH3">
        <v>0.58706592006203451</v>
      </c>
      <c r="CI3">
        <v>0.65152067246774337</v>
      </c>
      <c r="CJ3">
        <v>0.71598471906398586</v>
      </c>
      <c r="CK3">
        <v>0.73898042108425344</v>
      </c>
      <c r="CL3">
        <v>0.74113852119959134</v>
      </c>
      <c r="CM3">
        <v>0.75594501772645017</v>
      </c>
      <c r="CN3">
        <v>0.77043393513429592</v>
      </c>
      <c r="CO3">
        <v>0.81908849336173617</v>
      </c>
      <c r="CP3">
        <v>0.84023563451097871</v>
      </c>
      <c r="CQ3">
        <v>0.84537862958004339</v>
      </c>
      <c r="CR3">
        <v>0.88212683991088525</v>
      </c>
      <c r="CS3">
        <v>0.9154994009405506</v>
      </c>
      <c r="CT3">
        <v>0.93665014866326501</v>
      </c>
      <c r="CU3">
        <v>0.9595015121009034</v>
      </c>
      <c r="CV3">
        <v>0.99984968273512109</v>
      </c>
    </row>
    <row r="4" spans="1:100" x14ac:dyDescent="0.15">
      <c r="A4">
        <v>5.4928668765267622E-6</v>
      </c>
      <c r="B4">
        <v>1.30900233661391E-5</v>
      </c>
      <c r="C4">
        <v>1.4011244400132526E-5</v>
      </c>
      <c r="D4">
        <v>1.5439079460290083E-4</v>
      </c>
      <c r="E4">
        <v>1.7147739173975225E-4</v>
      </c>
      <c r="F4">
        <v>2.8061061286479481E-4</v>
      </c>
      <c r="G4">
        <v>3.5920938010149849E-4</v>
      </c>
      <c r="H4">
        <v>4.5692046826776358E-4</v>
      </c>
      <c r="I4">
        <v>5.751714750121342E-4</v>
      </c>
      <c r="J4">
        <v>1.4997450576596408E-3</v>
      </c>
      <c r="K4">
        <v>1.7997477653952433E-3</v>
      </c>
      <c r="L4">
        <v>3.0513427681728819E-3</v>
      </c>
      <c r="M4">
        <v>3.7317788760671848E-3</v>
      </c>
      <c r="N4">
        <v>3.9919488383607579E-3</v>
      </c>
      <c r="O4">
        <v>4.5066886725378509E-3</v>
      </c>
      <c r="P4">
        <v>4.9686391648301916E-3</v>
      </c>
      <c r="Q4">
        <v>5.0456444646590909E-3</v>
      </c>
      <c r="R4">
        <v>5.1951436976131766E-3</v>
      </c>
      <c r="S4">
        <v>5.2567465971355525E-3</v>
      </c>
      <c r="T4">
        <v>5.7909745012916739E-3</v>
      </c>
      <c r="U4">
        <v>5.9956114054744549E-3</v>
      </c>
      <c r="V4">
        <v>6.4567232724459635E-3</v>
      </c>
      <c r="W4">
        <v>7.0682257145712173E-3</v>
      </c>
      <c r="X4">
        <v>8.7299118394679708E-3</v>
      </c>
      <c r="Y4">
        <v>9.1885125512441747E-3</v>
      </c>
      <c r="Z4">
        <v>1.1825561788092739E-2</v>
      </c>
      <c r="AA4">
        <v>1.1858876306914167E-2</v>
      </c>
      <c r="AB4">
        <v>1.3648368665589666E-2</v>
      </c>
      <c r="AC4">
        <v>1.5169818271204906E-2</v>
      </c>
      <c r="AD4">
        <v>1.5202473871716242E-2</v>
      </c>
      <c r="AE4">
        <v>1.7084507285263468E-2</v>
      </c>
      <c r="AF4">
        <v>1.9009677057684516E-2</v>
      </c>
      <c r="AG4">
        <v>2.1335427554263896E-2</v>
      </c>
      <c r="AH4">
        <v>2.2399330448449904E-2</v>
      </c>
      <c r="AI4">
        <v>2.3424226849986084E-2</v>
      </c>
      <c r="AJ4">
        <v>2.5962657505641744E-2</v>
      </c>
      <c r="AK4">
        <v>2.6366760807966776E-2</v>
      </c>
      <c r="AL4">
        <v>2.6633014321541207E-2</v>
      </c>
      <c r="AM4">
        <v>2.8205052709816152E-2</v>
      </c>
      <c r="AN4">
        <v>3.3003005621779755E-2</v>
      </c>
      <c r="AO4">
        <v>3.4534858854310568E-2</v>
      </c>
      <c r="AP4">
        <v>3.8334952818782055E-2</v>
      </c>
      <c r="AQ4">
        <v>4.9904533539421411E-2</v>
      </c>
      <c r="AR4">
        <v>5.2494372183579427E-2</v>
      </c>
      <c r="AS4">
        <v>5.3580614289216982E-2</v>
      </c>
      <c r="AT4">
        <v>5.4716317282751246E-2</v>
      </c>
      <c r="AU4">
        <v>5.7649497449929706E-2</v>
      </c>
      <c r="AV4">
        <v>5.8929969454201862E-2</v>
      </c>
      <c r="AW4">
        <v>6.0113172931339914E-2</v>
      </c>
      <c r="AX4">
        <v>6.7658167543070843E-2</v>
      </c>
      <c r="AY4">
        <v>7.0526365768653052E-2</v>
      </c>
      <c r="AZ4">
        <v>7.176869659994585E-2</v>
      </c>
      <c r="BA4">
        <v>7.6588708444070702E-2</v>
      </c>
      <c r="BB4">
        <v>8.4784919673625753E-2</v>
      </c>
      <c r="BC4">
        <v>8.5585994789358452E-2</v>
      </c>
      <c r="BD4">
        <v>9.3421765971568607E-2</v>
      </c>
      <c r="BE4">
        <v>0.10333828078350803</v>
      </c>
      <c r="BF4">
        <v>0.109491843967967</v>
      </c>
      <c r="BG4">
        <v>0.11201543685971689</v>
      </c>
      <c r="BH4">
        <v>0.11676752296436685</v>
      </c>
      <c r="BI4">
        <v>0.12577815337904788</v>
      </c>
      <c r="BJ4">
        <v>0.1451641679129948</v>
      </c>
      <c r="BK4">
        <v>0.15067699963770209</v>
      </c>
      <c r="BL4">
        <v>0.15798016324906738</v>
      </c>
      <c r="BM4">
        <v>0.19608953354058709</v>
      </c>
      <c r="BN4">
        <v>0.20506417325537607</v>
      </c>
      <c r="BO4">
        <v>0.23555467813729086</v>
      </c>
      <c r="BP4">
        <v>0.23842184255737175</v>
      </c>
      <c r="BQ4">
        <v>0.23999950396800007</v>
      </c>
      <c r="BR4">
        <v>0.24360938857145731</v>
      </c>
      <c r="BS4">
        <v>0.25333771315332015</v>
      </c>
      <c r="BT4">
        <v>0.26595574228762842</v>
      </c>
      <c r="BU4">
        <v>0.27229133350942758</v>
      </c>
      <c r="BV4">
        <v>0.27280908986714431</v>
      </c>
      <c r="BW4">
        <v>0.28163326984253284</v>
      </c>
      <c r="BX4">
        <v>0.28205496288192866</v>
      </c>
      <c r="BY4">
        <v>0.29389591912748614</v>
      </c>
      <c r="BZ4">
        <v>0.31889672222020765</v>
      </c>
      <c r="CA4">
        <v>0.33173601271961228</v>
      </c>
      <c r="CB4">
        <v>0.33293299536707532</v>
      </c>
      <c r="CC4">
        <v>0.38843252905015069</v>
      </c>
      <c r="CD4">
        <v>0.38906496330647516</v>
      </c>
      <c r="CE4">
        <v>0.39040581568114441</v>
      </c>
      <c r="CF4">
        <v>0.40631884790201894</v>
      </c>
      <c r="CG4">
        <v>0.41655207035440717</v>
      </c>
      <c r="CH4">
        <v>0.44981124116922366</v>
      </c>
      <c r="CI4">
        <v>0.52588683681625492</v>
      </c>
      <c r="CJ4">
        <v>0.60583677249814549</v>
      </c>
      <c r="CK4">
        <v>0.63525691061074219</v>
      </c>
      <c r="CL4">
        <v>0.63804172413270377</v>
      </c>
      <c r="CM4">
        <v>0.65725714131534951</v>
      </c>
      <c r="CN4">
        <v>0.67624350309440373</v>
      </c>
      <c r="CO4">
        <v>0.74130381890900776</v>
      </c>
      <c r="CP4">
        <v>0.77019668336435487</v>
      </c>
      <c r="CQ4">
        <v>0.77727893412240479</v>
      </c>
      <c r="CR4">
        <v>0.82850771028660664</v>
      </c>
      <c r="CS4">
        <v>0.87596569144486225</v>
      </c>
      <c r="CT4">
        <v>0.90649645400709178</v>
      </c>
      <c r="CU4">
        <v>0.93987153174486715</v>
      </c>
      <c r="CV4">
        <v>0.99977453257612392</v>
      </c>
    </row>
    <row r="5" spans="1:100" x14ac:dyDescent="0.15">
      <c r="A5">
        <v>9.691673278347108E-8</v>
      </c>
      <c r="B5">
        <v>3.0849909597046978E-7</v>
      </c>
      <c r="C5">
        <v>3.3778130673234471E-7</v>
      </c>
      <c r="D5">
        <v>8.2825081111199291E-6</v>
      </c>
      <c r="E5">
        <v>9.5267000603525016E-6</v>
      </c>
      <c r="F5">
        <v>1.8371253491133311E-5</v>
      </c>
      <c r="G5">
        <v>2.5534668571116285E-5</v>
      </c>
      <c r="H5">
        <v>3.5192826701447666E-5</v>
      </c>
      <c r="I5">
        <v>4.783323858273955E-5</v>
      </c>
      <c r="J5">
        <v>1.7166822600154561E-4</v>
      </c>
      <c r="K5">
        <v>2.189183623477005E-4</v>
      </c>
      <c r="L5">
        <v>4.425761382332138E-4</v>
      </c>
      <c r="M5">
        <v>5.7883467028389975E-4</v>
      </c>
      <c r="N5">
        <v>6.3325693636713228E-4</v>
      </c>
      <c r="O5">
        <v>7.4440636296918376E-4</v>
      </c>
      <c r="P5">
        <v>8.4784528845260193E-4</v>
      </c>
      <c r="Q5">
        <v>8.6541056664202599E-4</v>
      </c>
      <c r="R5">
        <v>8.997670524558592E-4</v>
      </c>
      <c r="S5">
        <v>9.1402075246456709E-4</v>
      </c>
      <c r="T5">
        <v>1.0399254422465596E-3</v>
      </c>
      <c r="U5">
        <v>1.0892092046085641E-3</v>
      </c>
      <c r="V5">
        <v>1.2023093687525707E-3</v>
      </c>
      <c r="W5">
        <v>1.3564815138889614E-3</v>
      </c>
      <c r="X5">
        <v>1.7975451622116662E-3</v>
      </c>
      <c r="Y5">
        <v>1.9245400379037545E-3</v>
      </c>
      <c r="Z5">
        <v>2.694195101226832E-3</v>
      </c>
      <c r="AA5">
        <v>2.7043198272441063E-3</v>
      </c>
      <c r="AB5">
        <v>3.2616773168084542E-3</v>
      </c>
      <c r="AC5">
        <v>3.7552642618939214E-3</v>
      </c>
      <c r="AD5">
        <v>3.766046582723101E-3</v>
      </c>
      <c r="AE5">
        <v>4.4001749515145596E-3</v>
      </c>
      <c r="AF5">
        <v>5.0734063950242346E-3</v>
      </c>
      <c r="AG5">
        <v>5.9174573146986605E-3</v>
      </c>
      <c r="AH5">
        <v>6.314128010261706E-3</v>
      </c>
      <c r="AI5">
        <v>6.7022458384363801E-3</v>
      </c>
      <c r="AJ5">
        <v>7.6877430441349695E-3</v>
      </c>
      <c r="AK5">
        <v>7.8476996379128767E-3</v>
      </c>
      <c r="AL5">
        <v>7.9535392782450962E-3</v>
      </c>
      <c r="AM5">
        <v>8.5855717284539085E-3</v>
      </c>
      <c r="AN5">
        <v>1.0586148726503897E-2</v>
      </c>
      <c r="AO5">
        <v>1.1246315092613937E-2</v>
      </c>
      <c r="AP5">
        <v>1.2925873780349026E-2</v>
      </c>
      <c r="AQ5">
        <v>1.8373278895690463E-2</v>
      </c>
      <c r="AR5">
        <v>1.965548033338255E-2</v>
      </c>
      <c r="AS5">
        <v>2.0199637908751455E-2</v>
      </c>
      <c r="AT5">
        <v>2.0772518079474479E-2</v>
      </c>
      <c r="AU5">
        <v>2.2270366677649298E-2</v>
      </c>
      <c r="AV5">
        <v>2.2932335558130418E-2</v>
      </c>
      <c r="AW5">
        <v>2.3548298683271303E-2</v>
      </c>
      <c r="AX5">
        <v>2.7569378437714065E-2</v>
      </c>
      <c r="AY5">
        <v>2.9138599453261155E-2</v>
      </c>
      <c r="AZ5">
        <v>2.9824974340624276E-2</v>
      </c>
      <c r="BA5">
        <v>3.2525176437324915E-2</v>
      </c>
      <c r="BB5">
        <v>3.724701587707769E-2</v>
      </c>
      <c r="BC5">
        <v>3.7716982240007052E-2</v>
      </c>
      <c r="BD5">
        <v>4.239006639392541E-2</v>
      </c>
      <c r="BE5">
        <v>4.8493289229085412E-2</v>
      </c>
      <c r="BF5">
        <v>5.2381230114496857E-2</v>
      </c>
      <c r="BG5">
        <v>5.3997108286234378E-2</v>
      </c>
      <c r="BH5">
        <v>5.7072832017607579E-2</v>
      </c>
      <c r="BI5">
        <v>6.3019306419077839E-2</v>
      </c>
      <c r="BJ5">
        <v>7.6292041919540518E-2</v>
      </c>
      <c r="BK5">
        <v>8.0179366080435688E-2</v>
      </c>
      <c r="BL5">
        <v>8.5402400428133782E-2</v>
      </c>
      <c r="BM5">
        <v>0.11392154981052303</v>
      </c>
      <c r="BN5">
        <v>0.12092600959000251</v>
      </c>
      <c r="BO5">
        <v>0.14547520517448803</v>
      </c>
      <c r="BP5">
        <v>0.14784094160465655</v>
      </c>
      <c r="BQ5">
        <v>0.1491467492761257</v>
      </c>
      <c r="BR5">
        <v>0.15214535422626893</v>
      </c>
      <c r="BS5">
        <v>0.16029985439824229</v>
      </c>
      <c r="BT5">
        <v>0.1710327041270045</v>
      </c>
      <c r="BU5">
        <v>0.17648660890075882</v>
      </c>
      <c r="BV5">
        <v>0.17693419817462408</v>
      </c>
      <c r="BW5">
        <v>0.18460577234906531</v>
      </c>
      <c r="BX5">
        <v>0.18497441435261786</v>
      </c>
      <c r="BY5">
        <v>0.19540008171233669</v>
      </c>
      <c r="BZ5">
        <v>0.2178713246086417</v>
      </c>
      <c r="CA5">
        <v>0.22964491174354273</v>
      </c>
      <c r="CB5">
        <v>0.23075039376361917</v>
      </c>
      <c r="CC5">
        <v>0.28341366744143398</v>
      </c>
      <c r="CD5">
        <v>0.28402909524425513</v>
      </c>
      <c r="CE5">
        <v>0.28533499428308107</v>
      </c>
      <c r="CF5">
        <v>0.30094649608088642</v>
      </c>
      <c r="CG5">
        <v>0.31109454541852055</v>
      </c>
      <c r="CH5">
        <v>0.3446463944982831</v>
      </c>
      <c r="CI5">
        <v>0.42447918665282053</v>
      </c>
      <c r="CJ5">
        <v>0.51263411793313474</v>
      </c>
      <c r="CK5">
        <v>0.54609206274586053</v>
      </c>
      <c r="CL5">
        <v>0.54928630760591712</v>
      </c>
      <c r="CM5">
        <v>0.57145286982544308</v>
      </c>
      <c r="CN5">
        <v>0.59356844840651646</v>
      </c>
      <c r="CO5">
        <v>0.67090595995759894</v>
      </c>
      <c r="CP5">
        <v>0.70599592150206703</v>
      </c>
      <c r="CQ5">
        <v>0.7146650273506322</v>
      </c>
      <c r="CR5">
        <v>0.77814776169116462</v>
      </c>
      <c r="CS5">
        <v>0.83813915312250697</v>
      </c>
      <c r="CT5">
        <v>0.87731350099091643</v>
      </c>
      <c r="CU5">
        <v>0.92064315172392008</v>
      </c>
      <c r="CV5">
        <v>0.99969938806552228</v>
      </c>
    </row>
    <row r="6" spans="1:100" x14ac:dyDescent="0.15">
      <c r="A6">
        <v>1.7100092364448502E-9</v>
      </c>
      <c r="B6">
        <v>7.2705517440698053E-9</v>
      </c>
      <c r="C6">
        <v>8.1431889930298531E-9</v>
      </c>
      <c r="D6">
        <v>4.4432662444162651E-7</v>
      </c>
      <c r="E6">
        <v>5.292710200401343E-7</v>
      </c>
      <c r="F6">
        <v>1.202744797817377E-6</v>
      </c>
      <c r="G6">
        <v>1.8151510933609768E-6</v>
      </c>
      <c r="H6">
        <v>2.7106140723648304E-6</v>
      </c>
      <c r="I6">
        <v>3.977976677763816E-6</v>
      </c>
      <c r="J6">
        <v>1.9649992955806626E-5</v>
      </c>
      <c r="K6">
        <v>2.662887005306225E-5</v>
      </c>
      <c r="L6">
        <v>6.4192604048450525E-5</v>
      </c>
      <c r="M6">
        <v>8.9782805104403747E-5</v>
      </c>
      <c r="N6">
        <v>1.0045578330151084E-4</v>
      </c>
      <c r="O6">
        <v>1.2295964365272092E-4</v>
      </c>
      <c r="P6">
        <v>1.4467575714483243E-4</v>
      </c>
      <c r="Q6">
        <v>1.4843206930282085E-4</v>
      </c>
      <c r="R6">
        <v>1.5583413969031377E-4</v>
      </c>
      <c r="S6">
        <v>1.5892604303793695E-4</v>
      </c>
      <c r="T6">
        <v>1.8674662186657649E-4</v>
      </c>
      <c r="U6">
        <v>1.9787418015796814E-4</v>
      </c>
      <c r="V6">
        <v>2.2388257281507999E-4</v>
      </c>
      <c r="W6">
        <v>2.603258825944429E-4</v>
      </c>
      <c r="X6">
        <v>3.7012614441103952E-4</v>
      </c>
      <c r="Y6">
        <v>4.0309618524633382E-4</v>
      </c>
      <c r="Z6">
        <v>6.1381331166723049E-4</v>
      </c>
      <c r="AA6">
        <v>6.1669803603243924E-4</v>
      </c>
      <c r="AB6">
        <v>7.7947329674679243E-4</v>
      </c>
      <c r="AC6">
        <v>9.29609664700196E-4</v>
      </c>
      <c r="AD6">
        <v>9.3294729416556349E-4</v>
      </c>
      <c r="AE6">
        <v>1.1332805377792065E-3</v>
      </c>
      <c r="AF6">
        <v>1.3540183965759598E-3</v>
      </c>
      <c r="AG6">
        <v>1.6412279989337572E-3</v>
      </c>
      <c r="AH6">
        <v>1.779884118488481E-3</v>
      </c>
      <c r="AI6">
        <v>1.9176769234056689E-3</v>
      </c>
      <c r="AJ6">
        <v>2.2763999833146026E-3</v>
      </c>
      <c r="AK6">
        <v>2.335758649135598E-3</v>
      </c>
      <c r="AL6">
        <v>2.3752019312144779E-3</v>
      </c>
      <c r="AM6">
        <v>2.6134339355009667E-3</v>
      </c>
      <c r="AN6">
        <v>3.3956466312178471E-3</v>
      </c>
      <c r="AO6">
        <v>3.6623749845315816E-3</v>
      </c>
      <c r="AP6">
        <v>4.3583779475438698E-3</v>
      </c>
      <c r="AQ6">
        <v>6.7644631346400596E-3</v>
      </c>
      <c r="AR6">
        <v>7.3596062028309607E-3</v>
      </c>
      <c r="AS6">
        <v>7.6151678560875211E-3</v>
      </c>
      <c r="AT6">
        <v>7.8860846049322707E-3</v>
      </c>
      <c r="AU6">
        <v>8.6031839633591983E-3</v>
      </c>
      <c r="AV6">
        <v>8.9240164049193358E-3</v>
      </c>
      <c r="AW6">
        <v>9.224639855725492E-3</v>
      </c>
      <c r="AX6">
        <v>1.1233981868604942E-2</v>
      </c>
      <c r="AY6">
        <v>1.203887324752771E-2</v>
      </c>
      <c r="AZ6">
        <v>1.2394388313575248E-2</v>
      </c>
      <c r="BA6">
        <v>1.3812572685589067E-2</v>
      </c>
      <c r="BB6">
        <v>1.6363053678505053E-2</v>
      </c>
      <c r="BC6">
        <v>1.6621536652044456E-2</v>
      </c>
      <c r="BD6">
        <v>1.9234465439545077E-2</v>
      </c>
      <c r="BE6">
        <v>2.2756321107976357E-2</v>
      </c>
      <c r="BF6">
        <v>2.5059339297551681E-2</v>
      </c>
      <c r="BG6">
        <v>2.602933832170648E-2</v>
      </c>
      <c r="BH6">
        <v>2.7895668862514652E-2</v>
      </c>
      <c r="BI6">
        <v>3.1574902913173053E-2</v>
      </c>
      <c r="BJ6">
        <v>4.0095815268554921E-2</v>
      </c>
      <c r="BK6">
        <v>4.2665640811259807E-2</v>
      </c>
      <c r="BL6">
        <v>4.616763173860286E-2</v>
      </c>
      <c r="BM6">
        <v>6.6184662061757826E-2</v>
      </c>
      <c r="BN6">
        <v>7.1309871262351332E-2</v>
      </c>
      <c r="BO6">
        <v>8.9843409130786644E-2</v>
      </c>
      <c r="BP6">
        <v>9.167341288913998E-2</v>
      </c>
      <c r="BQ6">
        <v>9.2686661646606855E-2</v>
      </c>
      <c r="BR6">
        <v>9.5021825506724444E-2</v>
      </c>
      <c r="BS6">
        <v>0.10142999634857529</v>
      </c>
      <c r="BT6">
        <v>0.10998892383139267</v>
      </c>
      <c r="BU6">
        <v>0.11439043145385666</v>
      </c>
      <c r="BV6">
        <v>0.11475317959142328</v>
      </c>
      <c r="BW6">
        <v>0.121005913838409</v>
      </c>
      <c r="BX6">
        <v>0.12130803732539519</v>
      </c>
      <c r="BY6">
        <v>0.1299139914788188</v>
      </c>
      <c r="BZ6">
        <v>0.1488504295567708</v>
      </c>
      <c r="CA6">
        <v>0.15897214492136966</v>
      </c>
      <c r="CB6">
        <v>0.1599293099903156</v>
      </c>
      <c r="CC6">
        <v>0.20678831170247627</v>
      </c>
      <c r="CD6">
        <v>0.20734976046075523</v>
      </c>
      <c r="CE6">
        <v>0.2085421264037233</v>
      </c>
      <c r="CF6">
        <v>0.22290079323419187</v>
      </c>
      <c r="CG6">
        <v>0.23233545834213376</v>
      </c>
      <c r="CH6">
        <v>0.26406885015125597</v>
      </c>
      <c r="CI6">
        <v>0.34262614556446086</v>
      </c>
      <c r="CJ6">
        <v>0.4337698713557166</v>
      </c>
      <c r="CK6">
        <v>0.46944241929980823</v>
      </c>
      <c r="CL6">
        <v>0.47287729988734967</v>
      </c>
      <c r="CM6">
        <v>0.4968502613424679</v>
      </c>
      <c r="CN6">
        <v>0.52100094319802281</v>
      </c>
      <c r="CO6">
        <v>0.60719342815348054</v>
      </c>
      <c r="CP6">
        <v>0.64714669894490018</v>
      </c>
      <c r="CQ6">
        <v>0.65709500012983535</v>
      </c>
      <c r="CR6">
        <v>0.73084888831692751</v>
      </c>
      <c r="CS6">
        <v>0.80194606576224647</v>
      </c>
      <c r="CT6">
        <v>0.84907003840846507</v>
      </c>
      <c r="CU6">
        <v>0.90180815588979224</v>
      </c>
      <c r="CV6">
        <v>0.9996242492028915</v>
      </c>
    </row>
    <row r="7" spans="1:100" x14ac:dyDescent="0.15">
      <c r="A7">
        <v>3.0171586523244866E-11</v>
      </c>
      <c r="B7">
        <v>1.7134871172606757E-10</v>
      </c>
      <c r="C7">
        <v>1.9631496964024504E-10</v>
      </c>
      <c r="D7">
        <v>2.3836517458115114E-8</v>
      </c>
      <c r="E7">
        <v>2.9404495877868446E-8</v>
      </c>
      <c r="F7">
        <v>7.8742316052355741E-8</v>
      </c>
      <c r="G7">
        <v>1.2903137875290284E-7</v>
      </c>
      <c r="H7">
        <v>2.0877631432203231E-7</v>
      </c>
      <c r="I7">
        <v>3.3082222566763414E-7</v>
      </c>
      <c r="J7">
        <v>2.2492352379745193E-6</v>
      </c>
      <c r="K7">
        <v>3.239092019045171E-6</v>
      </c>
      <c r="L7">
        <v>9.3106926888809458E-6</v>
      </c>
      <c r="M7">
        <v>1.3926173579861261E-5</v>
      </c>
      <c r="N7">
        <v>1.5935655528089803E-5</v>
      </c>
      <c r="O7">
        <v>2.0310242791180979E-5</v>
      </c>
      <c r="P7">
        <v>2.4687375150284463E-5</v>
      </c>
      <c r="Q7">
        <v>2.5458528063744918E-5</v>
      </c>
      <c r="R7">
        <v>2.6989518038849907E-5</v>
      </c>
      <c r="S7">
        <v>2.7633384786496209E-5</v>
      </c>
      <c r="T7">
        <v>3.3535385674610348E-5</v>
      </c>
      <c r="U7">
        <v>3.5947356125455365E-5</v>
      </c>
      <c r="V7">
        <v>4.168927541694532E-5</v>
      </c>
      <c r="W7">
        <v>4.9959814752125786E-5</v>
      </c>
      <c r="X7">
        <v>7.6211360724883035E-5</v>
      </c>
      <c r="Y7">
        <v>8.4428762904371728E-5</v>
      </c>
      <c r="Z7">
        <v>1.3984391160399914E-4</v>
      </c>
      <c r="AA7">
        <v>1.4063294726269018E-4</v>
      </c>
      <c r="AB7">
        <v>1.8627796723184984E-4</v>
      </c>
      <c r="AC7">
        <v>2.3012338638138218E-4</v>
      </c>
      <c r="AD7">
        <v>2.3111521182021504E-4</v>
      </c>
      <c r="AE7">
        <v>2.9188038918022055E-4</v>
      </c>
      <c r="AF7">
        <v>3.6136782183745711E-4</v>
      </c>
      <c r="AG7">
        <v>4.5520046892324312E-4</v>
      </c>
      <c r="AH7">
        <v>5.0173000453885501E-4</v>
      </c>
      <c r="AI7">
        <v>5.4869440351960896E-4</v>
      </c>
      <c r="AJ7">
        <v>6.7405958475525568E-4</v>
      </c>
      <c r="AK7">
        <v>6.9520607550453272E-4</v>
      </c>
      <c r="AL7">
        <v>7.0931745185141902E-4</v>
      </c>
      <c r="AM7">
        <v>7.9552499836350746E-4</v>
      </c>
      <c r="AN7">
        <v>1.0891983800712258E-3</v>
      </c>
      <c r="AO7">
        <v>1.192656476087153E-3</v>
      </c>
      <c r="AP7">
        <v>1.4695686076182462E-3</v>
      </c>
      <c r="AQ7">
        <v>2.4904624677872366E-3</v>
      </c>
      <c r="AR7">
        <v>2.7556591109481575E-3</v>
      </c>
      <c r="AS7">
        <v>2.8708822276098428E-3</v>
      </c>
      <c r="AT7">
        <v>2.9938753769867027E-3</v>
      </c>
      <c r="AU7">
        <v>3.3234645562294513E-3</v>
      </c>
      <c r="AV7">
        <v>3.4727412998731646E-3</v>
      </c>
      <c r="AW7">
        <v>3.6135935598731778E-3</v>
      </c>
      <c r="AX7">
        <v>4.5776276352862437E-3</v>
      </c>
      <c r="AY7">
        <v>4.9739682685338371E-3</v>
      </c>
      <c r="AZ7">
        <v>5.1507458116550782E-3</v>
      </c>
      <c r="BA7">
        <v>5.8658302611308685E-3</v>
      </c>
      <c r="BB7">
        <v>7.1884826040631723E-3</v>
      </c>
      <c r="BC7">
        <v>7.3249625040840913E-3</v>
      </c>
      <c r="BD7">
        <v>8.7276263572465332E-3</v>
      </c>
      <c r="BE7">
        <v>1.0678800275291143E-2</v>
      </c>
      <c r="BF7">
        <v>1.1988463895505633E-2</v>
      </c>
      <c r="BG7">
        <v>1.2547458094873221E-2</v>
      </c>
      <c r="BH7">
        <v>1.3634654419233939E-2</v>
      </c>
      <c r="BI7">
        <v>1.5820143867443293E-2</v>
      </c>
      <c r="BJ7">
        <v>2.1072635645872154E-2</v>
      </c>
      <c r="BK7">
        <v>2.2703558219820074E-2</v>
      </c>
      <c r="BL7">
        <v>2.4957731980201986E-2</v>
      </c>
      <c r="BM7">
        <v>3.8451105164165021E-2</v>
      </c>
      <c r="BN7">
        <v>4.2051315152910898E-2</v>
      </c>
      <c r="BO7">
        <v>5.5486006392362695E-2</v>
      </c>
      <c r="BP7">
        <v>5.6844975008452162E-2</v>
      </c>
      <c r="BQ7">
        <v>5.7599761904886089E-2</v>
      </c>
      <c r="BR7">
        <v>5.934553420015927E-2</v>
      </c>
      <c r="BS7">
        <v>6.4179996905753933E-2</v>
      </c>
      <c r="BT7">
        <v>7.0732456855763431E-2</v>
      </c>
      <c r="BU7">
        <v>7.4142570304342334E-2</v>
      </c>
      <c r="BV7">
        <v>7.442479951413962E-2</v>
      </c>
      <c r="BW7">
        <v>7.9317298682196932E-2</v>
      </c>
      <c r="BX7">
        <v>7.9555002086326154E-2</v>
      </c>
      <c r="BY7">
        <v>8.6374811279789881E-2</v>
      </c>
      <c r="BZ7">
        <v>0.10169511944279228</v>
      </c>
      <c r="CA7">
        <v>0.11004878213510676</v>
      </c>
      <c r="CB7">
        <v>0.110844379404093</v>
      </c>
      <c r="CC7">
        <v>0.15087982962429616</v>
      </c>
      <c r="CD7">
        <v>0.15137154567266886</v>
      </c>
      <c r="CE7">
        <v>0.15241670091765969</v>
      </c>
      <c r="CF7">
        <v>0.165095006160424</v>
      </c>
      <c r="CG7">
        <v>0.17351562731654299</v>
      </c>
      <c r="CH7">
        <v>0.20233015268219748</v>
      </c>
      <c r="CI7">
        <v>0.27655696513660638</v>
      </c>
      <c r="CJ7">
        <v>0.36703819491096967</v>
      </c>
      <c r="CK7">
        <v>0.40355134247870456</v>
      </c>
      <c r="CL7">
        <v>0.40709724173423328</v>
      </c>
      <c r="CM7">
        <v>0.43198694981002539</v>
      </c>
      <c r="CN7">
        <v>0.45730527547739075</v>
      </c>
      <c r="CO7">
        <v>0.54953135192907898</v>
      </c>
      <c r="CP7">
        <v>0.59320293106545241</v>
      </c>
      <c r="CQ7">
        <v>0.60416254143046166</v>
      </c>
      <c r="CR7">
        <v>0.68642502600435562</v>
      </c>
      <c r="CS7">
        <v>0.76731589258847555</v>
      </c>
      <c r="CT7">
        <v>0.82173582112743138</v>
      </c>
      <c r="CU7">
        <v>0.88335849618444273</v>
      </c>
      <c r="CV7">
        <v>0.99954911598780716</v>
      </c>
    </row>
    <row r="8" spans="1:100" x14ac:dyDescent="0.15">
      <c r="A8">
        <v>5.3235071128752362E-13</v>
      </c>
      <c r="B8">
        <v>4.038260374686238E-12</v>
      </c>
      <c r="C8">
        <v>4.7327364424230117E-12</v>
      </c>
      <c r="D8">
        <v>1.2787430085807771E-9</v>
      </c>
      <c r="E8">
        <v>1.6336136782361872E-9</v>
      </c>
      <c r="F8">
        <v>5.1551687012414199E-9</v>
      </c>
      <c r="G8">
        <v>9.1722924685278969E-9</v>
      </c>
      <c r="H8">
        <v>1.6080322856091722E-8</v>
      </c>
      <c r="I8">
        <v>2.7512314390241634E-8</v>
      </c>
      <c r="J8">
        <v>2.5745857350301628E-7</v>
      </c>
      <c r="K8">
        <v>3.9399783343926015E-7</v>
      </c>
      <c r="L8">
        <v>1.3504514987637987E-6</v>
      </c>
      <c r="M8">
        <v>2.1600829953007709E-6</v>
      </c>
      <c r="N8">
        <v>2.5279292915146661E-6</v>
      </c>
      <c r="O8">
        <v>3.3548077237583204E-6</v>
      </c>
      <c r="P8">
        <v>4.2126373059223488E-6</v>
      </c>
      <c r="Q8">
        <v>4.3665540352348256E-6</v>
      </c>
      <c r="R8">
        <v>4.6744191318860411E-6</v>
      </c>
      <c r="S8">
        <v>4.8047754802293902E-6</v>
      </c>
      <c r="T8">
        <v>6.022181719294294E-6</v>
      </c>
      <c r="U8">
        <v>6.5304751300988663E-6</v>
      </c>
      <c r="V8">
        <v>7.7629788819045397E-6</v>
      </c>
      <c r="W8">
        <v>9.5879175178104513E-6</v>
      </c>
      <c r="X8">
        <v>1.5692410793569999E-5</v>
      </c>
      <c r="Y8">
        <v>1.7683660293650587E-5</v>
      </c>
      <c r="Z8">
        <v>3.1860370638734673E-5</v>
      </c>
      <c r="AA8">
        <v>3.2070194325623345E-5</v>
      </c>
      <c r="AB8">
        <v>4.4516574487993085E-5</v>
      </c>
      <c r="AC8">
        <v>5.6966676413281211E-5</v>
      </c>
      <c r="AD8">
        <v>5.7253224773514182E-5</v>
      </c>
      <c r="AE8">
        <v>7.5174821015584317E-5</v>
      </c>
      <c r="AF8">
        <v>9.64438171518021E-5</v>
      </c>
      <c r="AG8">
        <v>1.2625148184320224E-4</v>
      </c>
      <c r="AH8">
        <v>1.4143223979566543E-4</v>
      </c>
      <c r="AI8">
        <v>1.5699492692390895E-4</v>
      </c>
      <c r="AJ8">
        <v>1.9959423964625587E-4</v>
      </c>
      <c r="AK8">
        <v>2.069184192456163E-4</v>
      </c>
      <c r="AL8">
        <v>2.1182672550444217E-4</v>
      </c>
      <c r="AM8">
        <v>2.4215650314494985E-4</v>
      </c>
      <c r="AN8">
        <v>3.4937472593380472E-4</v>
      </c>
      <c r="AO8">
        <v>3.8838990435452502E-4</v>
      </c>
      <c r="AP8">
        <v>4.9551276151121198E-4</v>
      </c>
      <c r="AQ8">
        <v>9.1690991287912823E-4</v>
      </c>
      <c r="AR8">
        <v>1.0318021000676094E-3</v>
      </c>
      <c r="AS8">
        <v>1.0823090075706573E-3</v>
      </c>
      <c r="AT8">
        <v>1.1365956899982122E-3</v>
      </c>
      <c r="AU8">
        <v>1.2838754469921426E-3</v>
      </c>
      <c r="AV8">
        <v>1.3514018339541329E-3</v>
      </c>
      <c r="AW8">
        <v>1.4155629509863318E-3</v>
      </c>
      <c r="AX8">
        <v>1.8652936253971829E-3</v>
      </c>
      <c r="AY8">
        <v>2.0550395230269701E-3</v>
      </c>
      <c r="AZ8">
        <v>2.1404995345534338E-3</v>
      </c>
      <c r="BA8">
        <v>2.491061255250236E-3</v>
      </c>
      <c r="BB8">
        <v>3.1579852492202949E-3</v>
      </c>
      <c r="BC8">
        <v>3.2280454454635689E-3</v>
      </c>
      <c r="BD8">
        <v>3.9601548621725552E-3</v>
      </c>
      <c r="BE8">
        <v>5.0112131384710936E-3</v>
      </c>
      <c r="BF8">
        <v>5.7353174745466643E-3</v>
      </c>
      <c r="BG8">
        <v>6.0485096738439829E-3</v>
      </c>
      <c r="BH8">
        <v>6.6642532232574448E-3</v>
      </c>
      <c r="BI8">
        <v>7.926451988619989E-3</v>
      </c>
      <c r="BJ8">
        <v>1.1074870783633417E-2</v>
      </c>
      <c r="BK8">
        <v>1.2081186313852991E-2</v>
      </c>
      <c r="BL8">
        <v>1.3491885161498797E-2</v>
      </c>
      <c r="BM8">
        <v>2.233882356256622E-2</v>
      </c>
      <c r="BN8">
        <v>2.4797592181645543E-2</v>
      </c>
      <c r="BO8">
        <v>3.4267365131832879E-2</v>
      </c>
      <c r="BP8">
        <v>3.5248509702799018E-2</v>
      </c>
      <c r="BQ8">
        <v>3.5795145844709844E-2</v>
      </c>
      <c r="BR8">
        <v>3.7064036717049165E-2</v>
      </c>
      <c r="BS8">
        <v>4.060999853206089E-2</v>
      </c>
      <c r="BT8">
        <v>4.5487129781557813E-2</v>
      </c>
      <c r="BU8">
        <v>4.805577408414443E-2</v>
      </c>
      <c r="BV8">
        <v>4.8269257570392139E-2</v>
      </c>
      <c r="BW8">
        <v>5.1991127298473494E-2</v>
      </c>
      <c r="BX8">
        <v>5.2172951574334124E-2</v>
      </c>
      <c r="BY8">
        <v>5.7427286612433084E-2</v>
      </c>
      <c r="BZ8">
        <v>6.9478451283470702E-2</v>
      </c>
      <c r="CA8">
        <v>7.6181487363150127E-2</v>
      </c>
      <c r="CB8">
        <v>7.6824419777853828E-2</v>
      </c>
      <c r="CC8">
        <v>0.11008708761165455</v>
      </c>
      <c r="CD8">
        <v>0.11050576951917745</v>
      </c>
      <c r="CE8">
        <v>0.11139644118546094</v>
      </c>
      <c r="CF8">
        <v>0.12228023356773522</v>
      </c>
      <c r="CG8">
        <v>0.1295870769700479</v>
      </c>
      <c r="CH8">
        <v>0.15502582247377061</v>
      </c>
      <c r="CI8">
        <v>0.22322801676318843</v>
      </c>
      <c r="CJ8">
        <v>0.31057259948104404</v>
      </c>
      <c r="CK8">
        <v>0.34690875668898291</v>
      </c>
      <c r="CL8">
        <v>0.35046758274736606</v>
      </c>
      <c r="CM8">
        <v>0.37559147961792327</v>
      </c>
      <c r="CN8">
        <v>0.40139680687673251</v>
      </c>
      <c r="CO8">
        <v>0.49734515024538195</v>
      </c>
      <c r="CP8">
        <v>0.54375571720965343</v>
      </c>
      <c r="CQ8">
        <v>0.55549407071365864</v>
      </c>
      <c r="CR8">
        <v>0.64470142030339483</v>
      </c>
      <c r="CS8">
        <v>0.73418114279196811</v>
      </c>
      <c r="CT8">
        <v>0.79528157770081298</v>
      </c>
      <c r="CU8">
        <v>0.86528628920118289</v>
      </c>
      <c r="CV8">
        <v>0.99947398841984469</v>
      </c>
    </row>
    <row r="9" spans="1:100" x14ac:dyDescent="0.15">
      <c r="A9">
        <v>9.3928530934227387E-15</v>
      </c>
      <c r="B9">
        <v>9.5171692214597125E-14</v>
      </c>
      <c r="C9">
        <v>1.1409621117781035E-13</v>
      </c>
      <c r="D9">
        <v>6.8599940610767409E-11</v>
      </c>
      <c r="E9">
        <v>9.0758014039920353E-11</v>
      </c>
      <c r="F9">
        <v>3.3750295483547786E-10</v>
      </c>
      <c r="G9">
        <v>6.5201929903675373E-10</v>
      </c>
      <c r="H9">
        <v>1.2385350512381279E-9</v>
      </c>
      <c r="I9">
        <v>2.2880187133132835E-9</v>
      </c>
      <c r="J9">
        <v>2.946997981851774E-8</v>
      </c>
      <c r="K9">
        <v>4.7925249372999095E-8</v>
      </c>
      <c r="L9">
        <v>1.9587363813342477E-7</v>
      </c>
      <c r="M9">
        <v>3.3504957552267091E-7</v>
      </c>
      <c r="N9">
        <v>4.010143474570862E-7</v>
      </c>
      <c r="O9">
        <v>5.5414083322900818E-7</v>
      </c>
      <c r="P9">
        <v>7.1884163315127579E-7</v>
      </c>
      <c r="Q9">
        <v>7.4893544885567256E-7</v>
      </c>
      <c r="R9">
        <v>8.0958074868510491E-7</v>
      </c>
      <c r="S9">
        <v>8.3543393593589342E-7</v>
      </c>
      <c r="T9">
        <v>1.0814449254317026E-6</v>
      </c>
      <c r="U9">
        <v>1.1863766914040208E-6</v>
      </c>
      <c r="V9">
        <v>1.4455478181902051E-6</v>
      </c>
      <c r="W9">
        <v>1.8400420975224886E-6</v>
      </c>
      <c r="X9">
        <v>3.2311686101905654E-6</v>
      </c>
      <c r="Y9">
        <v>3.7038543574945848E-6</v>
      </c>
      <c r="Z9">
        <v>7.2586872434746595E-6</v>
      </c>
      <c r="AA9">
        <v>7.3133457280255929E-6</v>
      </c>
      <c r="AB9">
        <v>1.0638538918982798E-5</v>
      </c>
      <c r="AC9">
        <v>1.4102009676657699E-5</v>
      </c>
      <c r="AD9">
        <v>1.4183106863240346E-5</v>
      </c>
      <c r="AE9">
        <v>1.9361539603936156E-5</v>
      </c>
      <c r="AF9">
        <v>2.5739452449072801E-5</v>
      </c>
      <c r="AG9">
        <v>3.5016301071280684E-5</v>
      </c>
      <c r="AH9">
        <v>3.9868212529971451E-5</v>
      </c>
      <c r="AI9">
        <v>4.4920099278837779E-5</v>
      </c>
      <c r="AJ9">
        <v>5.9101393112645608E-5</v>
      </c>
      <c r="AK9">
        <v>6.1586389606897894E-5</v>
      </c>
      <c r="AL9">
        <v>6.3258787050587528E-5</v>
      </c>
      <c r="AM9">
        <v>7.3712041904427033E-5</v>
      </c>
      <c r="AN9">
        <v>1.1206654485966008E-4</v>
      </c>
      <c r="AO9">
        <v>1.2647960316235603E-4</v>
      </c>
      <c r="AP9">
        <v>1.6707821298551443E-4</v>
      </c>
      <c r="AQ9">
        <v>3.3757737737882457E-4</v>
      </c>
      <c r="AR9">
        <v>3.8633790713598823E-4</v>
      </c>
      <c r="AS9">
        <v>4.0802537164466888E-4</v>
      </c>
      <c r="AT9">
        <v>4.314975073620941E-4</v>
      </c>
      <c r="AU9">
        <v>4.959692319569522E-4</v>
      </c>
      <c r="AV9">
        <v>5.258920141506928E-4</v>
      </c>
      <c r="AW9">
        <v>5.5452237087655701E-4</v>
      </c>
      <c r="AX9">
        <v>7.6007062744189321E-4</v>
      </c>
      <c r="AY9">
        <v>8.4905797809759127E-4</v>
      </c>
      <c r="AZ9">
        <v>8.8952909441889644E-4</v>
      </c>
      <c r="BA9">
        <v>1.0578871022791159E-3</v>
      </c>
      <c r="BB9">
        <v>1.3873401917472775E-3</v>
      </c>
      <c r="BC9">
        <v>1.4225707492930074E-3</v>
      </c>
      <c r="BD9">
        <v>1.7969177288814043E-3</v>
      </c>
      <c r="BE9">
        <v>2.3515991002557315E-3</v>
      </c>
      <c r="BF9">
        <v>2.7437932683078725E-3</v>
      </c>
      <c r="BG9">
        <v>2.9156877032753214E-3</v>
      </c>
      <c r="BH9">
        <v>3.2573081545100527E-3</v>
      </c>
      <c r="BI9">
        <v>3.9714329815416253E-3</v>
      </c>
      <c r="BJ9">
        <v>5.8204756602529273E-3</v>
      </c>
      <c r="BK9">
        <v>6.4287307450605208E-3</v>
      </c>
      <c r="BL9">
        <v>7.2935699988873051E-3</v>
      </c>
      <c r="BM9">
        <v>1.2978119511231481E-2</v>
      </c>
      <c r="BN9">
        <v>1.4623099795361378E-2</v>
      </c>
      <c r="BO9">
        <v>2.1163035320559388E-2</v>
      </c>
      <c r="BP9">
        <v>2.1856944014551467E-2</v>
      </c>
      <c r="BQ9">
        <v>2.2244752819635501E-2</v>
      </c>
      <c r="BR9">
        <v>2.314820881263685E-2</v>
      </c>
      <c r="BS9">
        <v>2.5696043320097679E-2</v>
      </c>
      <c r="BT9">
        <v>2.9252185880995461E-2</v>
      </c>
      <c r="BU9">
        <v>3.1147523121289402E-2</v>
      </c>
      <c r="BV9">
        <v>3.1305710483697145E-2</v>
      </c>
      <c r="BW9">
        <v>3.4079291184594927E-2</v>
      </c>
      <c r="BX9">
        <v>3.4215533965093956E-2</v>
      </c>
      <c r="BY9">
        <v>3.8181191933187857E-2</v>
      </c>
      <c r="BZ9">
        <v>4.7467914086724121E-2</v>
      </c>
      <c r="CA9">
        <v>5.2736785489699532E-2</v>
      </c>
      <c r="CB9">
        <v>5.3245744222065294E-2</v>
      </c>
      <c r="CC9">
        <v>8.0323306892603738E-2</v>
      </c>
      <c r="CD9">
        <v>8.0672526945270148E-2</v>
      </c>
      <c r="CE9">
        <v>8.1416058962525906E-2</v>
      </c>
      <c r="CF9">
        <v>9.0568793503362985E-2</v>
      </c>
      <c r="CG9">
        <v>9.6779816189155946E-2</v>
      </c>
      <c r="CH9">
        <v>0.11878113724066619</v>
      </c>
      <c r="CI9">
        <v>0.18018257990144004</v>
      </c>
      <c r="CJ9">
        <v>0.26279373886908308</v>
      </c>
      <c r="CK9">
        <v>0.29821654099402889</v>
      </c>
      <c r="CL9">
        <v>0.30171544772334219</v>
      </c>
      <c r="CM9">
        <v>0.32655838243173479</v>
      </c>
      <c r="CN9">
        <v>0.35232350294371939</v>
      </c>
      <c r="CO9">
        <v>0.45011480710662738</v>
      </c>
      <c r="CP9">
        <v>0.4984302411775528</v>
      </c>
      <c r="CQ9">
        <v>0.51074610131807985</v>
      </c>
      <c r="CR9">
        <v>0.60551393902496953</v>
      </c>
      <c r="CS9">
        <v>0.70247723999691314</v>
      </c>
      <c r="CT9">
        <v>0.76967897902093874</v>
      </c>
      <c r="CU9">
        <v>0.84758381281615292</v>
      </c>
      <c r="CV9">
        <v>0.99939886649857967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9"/>
  <sheetViews>
    <sheetView workbookViewId="0"/>
  </sheetViews>
  <sheetFormatPr defaultRowHeight="13.5" x14ac:dyDescent="0.15"/>
  <sheetData>
    <row r="1" spans="1:9" x14ac:dyDescent="0.15">
      <c r="A1">
        <f t="array" ref="A1:I9">MMULT(trans!A1:CV9,dmatrix!A2:I101)</f>
        <v>100</v>
      </c>
      <c r="B1">
        <v>45.01573371887207</v>
      </c>
      <c r="C1">
        <v>27.634505507572342</v>
      </c>
      <c r="D1">
        <v>19.710028588251049</v>
      </c>
      <c r="E1">
        <v>15.297239814530426</v>
      </c>
      <c r="F1">
        <v>12.516267768958196</v>
      </c>
      <c r="G1">
        <v>10.614458002063131</v>
      </c>
      <c r="H1">
        <v>9.2367307924893858</v>
      </c>
      <c r="I1">
        <v>8.1946025500245128</v>
      </c>
    </row>
    <row r="2" spans="1:9" x14ac:dyDescent="0.15">
      <c r="A2">
        <v>45.01573371887207</v>
      </c>
      <c r="B2">
        <v>27.634505507572342</v>
      </c>
      <c r="C2">
        <v>19.710028588251049</v>
      </c>
      <c r="D2">
        <v>15.297239814530426</v>
      </c>
      <c r="E2">
        <v>12.516267768958196</v>
      </c>
      <c r="F2">
        <v>10.614458002063131</v>
      </c>
      <c r="G2">
        <v>9.2367307924893858</v>
      </c>
      <c r="H2">
        <v>8.1946025500245128</v>
      </c>
      <c r="I2">
        <v>7.3790951126102469</v>
      </c>
    </row>
    <row r="3" spans="1:9" x14ac:dyDescent="0.15">
      <c r="A3">
        <v>27.634505507572342</v>
      </c>
      <c r="B3">
        <v>19.710028588251049</v>
      </c>
      <c r="C3">
        <v>15.297239814530426</v>
      </c>
      <c r="D3">
        <v>12.516267768958196</v>
      </c>
      <c r="E3">
        <v>10.614458002063131</v>
      </c>
      <c r="F3">
        <v>9.2367307924893858</v>
      </c>
      <c r="G3">
        <v>8.1946025500245128</v>
      </c>
      <c r="H3">
        <v>7.3790951126102478</v>
      </c>
      <c r="I3">
        <v>6.7230948309372911</v>
      </c>
    </row>
    <row r="4" spans="1:9" x14ac:dyDescent="0.15">
      <c r="A4">
        <v>19.710028588251049</v>
      </c>
      <c r="B4">
        <v>15.297239814530426</v>
      </c>
      <c r="C4">
        <v>12.516267768958196</v>
      </c>
      <c r="D4">
        <v>10.614458002063131</v>
      </c>
      <c r="E4">
        <v>9.2367307924893858</v>
      </c>
      <c r="F4">
        <v>8.1946025500245128</v>
      </c>
      <c r="G4">
        <v>7.3790951126102469</v>
      </c>
      <c r="H4">
        <v>6.7230948309372911</v>
      </c>
      <c r="I4">
        <v>6.1832366997502204</v>
      </c>
    </row>
    <row r="5" spans="1:9" x14ac:dyDescent="0.15">
      <c r="A5">
        <v>15.297239814530426</v>
      </c>
      <c r="B5">
        <v>12.516267768958196</v>
      </c>
      <c r="C5">
        <v>10.614458002063131</v>
      </c>
      <c r="D5">
        <v>9.2367307924893858</v>
      </c>
      <c r="E5">
        <v>8.1946025500245128</v>
      </c>
      <c r="F5">
        <v>7.3790951126102469</v>
      </c>
      <c r="G5">
        <v>6.7230948309372902</v>
      </c>
      <c r="H5">
        <v>6.1832366997502204</v>
      </c>
      <c r="I5">
        <v>5.7304159903183178</v>
      </c>
    </row>
    <row r="6" spans="1:9" x14ac:dyDescent="0.15">
      <c r="A6">
        <v>12.516267768958196</v>
      </c>
      <c r="B6">
        <v>10.614458002063131</v>
      </c>
      <c r="C6">
        <v>9.2367307924893858</v>
      </c>
      <c r="D6">
        <v>8.1946025500245128</v>
      </c>
      <c r="E6">
        <v>7.3790951126102469</v>
      </c>
      <c r="F6">
        <v>6.7230948309372911</v>
      </c>
      <c r="G6">
        <v>6.1832366997502204</v>
      </c>
      <c r="H6">
        <v>5.7304159903183178</v>
      </c>
      <c r="I6">
        <v>5.3444772269707634</v>
      </c>
    </row>
    <row r="7" spans="1:9" x14ac:dyDescent="0.15">
      <c r="A7">
        <v>10.614458002063131</v>
      </c>
      <c r="B7">
        <v>9.2367307924893858</v>
      </c>
      <c r="C7">
        <v>8.1946025500245128</v>
      </c>
      <c r="D7">
        <v>7.3790951126102469</v>
      </c>
      <c r="E7">
        <v>6.7230948309372902</v>
      </c>
      <c r="F7">
        <v>6.1832366997502204</v>
      </c>
      <c r="G7">
        <v>5.7304159903183178</v>
      </c>
      <c r="H7">
        <v>5.3444772269707634</v>
      </c>
      <c r="I7">
        <v>5.0110819482890987</v>
      </c>
    </row>
    <row r="8" spans="1:9" x14ac:dyDescent="0.15">
      <c r="A8">
        <v>9.2367307924893858</v>
      </c>
      <c r="B8">
        <v>8.1946025500245128</v>
      </c>
      <c r="C8">
        <v>7.3790951126102478</v>
      </c>
      <c r="D8">
        <v>6.7230948309372911</v>
      </c>
      <c r="E8">
        <v>6.1832366997502204</v>
      </c>
      <c r="F8">
        <v>5.7304159903183178</v>
      </c>
      <c r="G8">
        <v>5.3444772269707634</v>
      </c>
      <c r="H8">
        <v>5.0110819482890978</v>
      </c>
      <c r="I8">
        <v>4.7197834981102211</v>
      </c>
    </row>
    <row r="9" spans="1:9" x14ac:dyDescent="0.15">
      <c r="A9">
        <v>8.1946025500245128</v>
      </c>
      <c r="B9">
        <v>7.3790951126102469</v>
      </c>
      <c r="C9">
        <v>6.7230948309372911</v>
      </c>
      <c r="D9">
        <v>6.1832366997502204</v>
      </c>
      <c r="E9">
        <v>5.7304159903183178</v>
      </c>
      <c r="F9">
        <v>5.3444772269707634</v>
      </c>
      <c r="G9">
        <v>5.0110819482890987</v>
      </c>
      <c r="H9">
        <v>4.7197834981102211</v>
      </c>
      <c r="I9">
        <v>4.4628038609641258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9"/>
  <sheetViews>
    <sheetView workbookViewId="0"/>
  </sheetViews>
  <sheetFormatPr defaultRowHeight="13.5" x14ac:dyDescent="0.15"/>
  <cols>
    <col min="1" max="9" width="13.875" bestFit="1" customWidth="1"/>
  </cols>
  <sheetData>
    <row r="1" spans="1:9" x14ac:dyDescent="0.15">
      <c r="A1">
        <f t="array" ref="A1:I9">MINVERSE(multi!A1:I9)</f>
        <v>1.7593491484967672</v>
      </c>
      <c r="B1">
        <v>-68.03941387341591</v>
      </c>
      <c r="C1">
        <v>850.29824944403026</v>
      </c>
      <c r="D1">
        <v>-5025.8826644548772</v>
      </c>
      <c r="E1">
        <v>16201.140637323857</v>
      </c>
      <c r="F1">
        <v>-30101.478799364566</v>
      </c>
      <c r="G1">
        <v>32157.827457566262</v>
      </c>
      <c r="H1">
        <v>-18337.865752745867</v>
      </c>
      <c r="I1">
        <v>4322.3675490596888</v>
      </c>
    </row>
    <row r="2" spans="1:9" x14ac:dyDescent="0.15">
      <c r="A2">
        <v>-68.039413286896689</v>
      </c>
      <c r="B2">
        <v>3040.8818713071478</v>
      </c>
      <c r="C2">
        <v>-40614.90051620335</v>
      </c>
      <c r="D2">
        <v>249796.90493623551</v>
      </c>
      <c r="E2">
        <v>-826968.8864753932</v>
      </c>
      <c r="F2">
        <v>1566138.6630256379</v>
      </c>
      <c r="G2">
        <v>-1697358.5163366306</v>
      </c>
      <c r="H2">
        <v>978829.58008408721</v>
      </c>
      <c r="I2">
        <v>-232803.13501530059</v>
      </c>
    </row>
    <row r="3" spans="1:9" x14ac:dyDescent="0.15">
      <c r="A3">
        <v>850.29823238109452</v>
      </c>
      <c r="B3">
        <v>-40614.900087262889</v>
      </c>
      <c r="C3">
        <v>567418.04561056802</v>
      </c>
      <c r="D3">
        <v>-3603053.7586034844</v>
      </c>
      <c r="E3">
        <v>12211233.056243818</v>
      </c>
      <c r="F3">
        <v>-23541430.823706292</v>
      </c>
      <c r="G3">
        <v>25871654.485991046</v>
      </c>
      <c r="H3">
        <v>-15087313.919116326</v>
      </c>
      <c r="I3">
        <v>3621385.3487311956</v>
      </c>
    </row>
    <row r="4" spans="1:9" x14ac:dyDescent="0.15">
      <c r="A4">
        <v>-5025.8825040667207</v>
      </c>
      <c r="B4">
        <v>249796.89967903384</v>
      </c>
      <c r="C4">
        <v>-3603053.7229566756</v>
      </c>
      <c r="D4">
        <v>23442568.817290153</v>
      </c>
      <c r="E4">
        <v>-80944633.80442819</v>
      </c>
      <c r="F4">
        <v>158340612.63784158</v>
      </c>
      <c r="G4">
        <v>-176057534.32844335</v>
      </c>
      <c r="H4">
        <v>103655618.48264848</v>
      </c>
      <c r="I4">
        <v>-25079320.843455508</v>
      </c>
    </row>
    <row r="5" spans="1:9" x14ac:dyDescent="0.15">
      <c r="A5">
        <v>16201.139936409081</v>
      </c>
      <c r="B5">
        <v>-826968.8609617881</v>
      </c>
      <c r="C5">
        <v>12211232.826597724</v>
      </c>
      <c r="D5">
        <v>-80944633.110112578</v>
      </c>
      <c r="E5">
        <v>283639365.07495487</v>
      </c>
      <c r="F5">
        <v>-561444214.27579546</v>
      </c>
      <c r="G5">
        <v>630343844.01140773</v>
      </c>
      <c r="H5">
        <v>-374135181.04329371</v>
      </c>
      <c r="I5">
        <v>91144209.416410848</v>
      </c>
    </row>
    <row r="6" spans="1:9" x14ac:dyDescent="0.15">
      <c r="A6">
        <v>-30101.477179069112</v>
      </c>
      <c r="B6">
        <v>1566138.6006327125</v>
      </c>
      <c r="C6">
        <v>-23541430.193502311</v>
      </c>
      <c r="D6">
        <v>158340610.09903029</v>
      </c>
      <c r="E6">
        <v>-561444210.19504857</v>
      </c>
      <c r="F6">
        <v>1122202920.7813997</v>
      </c>
      <c r="G6">
        <v>-1270219428.3430297</v>
      </c>
      <c r="H6">
        <v>759164448.30543411</v>
      </c>
      <c r="I6">
        <v>-186047495.65712109</v>
      </c>
    </row>
    <row r="7" spans="1:9" x14ac:dyDescent="0.15">
      <c r="A7">
        <v>32157.825413896357</v>
      </c>
      <c r="B7">
        <v>-1697358.4348197614</v>
      </c>
      <c r="C7">
        <v>25871653.609056946</v>
      </c>
      <c r="D7">
        <v>-176057530.35491717</v>
      </c>
      <c r="E7">
        <v>630343835.49359643</v>
      </c>
      <c r="F7">
        <v>-1270219420.5509274</v>
      </c>
      <c r="G7">
        <v>1447779015.6306491</v>
      </c>
      <c r="H7">
        <v>-870490119.30395412</v>
      </c>
      <c r="I7">
        <v>214448419.19100848</v>
      </c>
    </row>
    <row r="8" spans="1:9" x14ac:dyDescent="0.15">
      <c r="A8">
        <v>-18337.864423852974</v>
      </c>
      <c r="B8">
        <v>978829.52578417794</v>
      </c>
      <c r="C8">
        <v>-15087313.311218487</v>
      </c>
      <c r="D8">
        <v>103655615.54463419</v>
      </c>
      <c r="E8">
        <v>-374135173.95630628</v>
      </c>
      <c r="F8">
        <v>759164439.65915108</v>
      </c>
      <c r="G8">
        <v>-870490114.78887939</v>
      </c>
      <c r="H8">
        <v>526142945.69066972</v>
      </c>
      <c r="I8">
        <v>-130217853.85140136</v>
      </c>
    </row>
    <row r="9" spans="1:9" x14ac:dyDescent="0.15">
      <c r="A9">
        <v>4322.3672005546578</v>
      </c>
      <c r="B9">
        <v>-232803.12052242583</v>
      </c>
      <c r="C9">
        <v>3621385.1819536313</v>
      </c>
      <c r="D9">
        <v>-25079320.00380059</v>
      </c>
      <c r="E9">
        <v>91144207.255584031</v>
      </c>
      <c r="F9">
        <v>-186047492.69086525</v>
      </c>
      <c r="G9">
        <v>214448417.12554759</v>
      </c>
      <c r="H9">
        <v>-130217853.27829641</v>
      </c>
      <c r="I9">
        <v>32360992.314663384</v>
      </c>
    </row>
    <row r="11" spans="1:9" x14ac:dyDescent="0.15">
      <c r="A11">
        <f t="array" ref="A11:I19">MMULT(multi!A1:I9,inv!A1:I9)</f>
        <v>0.99999999999272404</v>
      </c>
      <c r="B11">
        <v>-6.9849193096160889E-10</v>
      </c>
      <c r="C11">
        <v>-2.6077032089233398E-8</v>
      </c>
      <c r="D11">
        <v>8.9406967163085938E-8</v>
      </c>
      <c r="E11">
        <v>-2.384185791015625E-7</v>
      </c>
      <c r="F11">
        <v>2.384185791015625E-7</v>
      </c>
      <c r="G11">
        <v>-4.76837158203125E-7</v>
      </c>
      <c r="H11">
        <v>1.0728836059570313E-6</v>
      </c>
      <c r="I11">
        <v>-2.9802322387695313E-8</v>
      </c>
    </row>
    <row r="12" spans="1:9" x14ac:dyDescent="0.15">
      <c r="A12">
        <v>-5.0931703299283981E-11</v>
      </c>
      <c r="B12">
        <v>1.0000000006984919</v>
      </c>
      <c r="C12">
        <v>0</v>
      </c>
      <c r="D12">
        <v>8.9406967163085938E-8</v>
      </c>
      <c r="E12">
        <v>1.1920928955078125E-7</v>
      </c>
      <c r="F12">
        <v>-4.76837158203125E-7</v>
      </c>
      <c r="G12">
        <v>-1.1920928955078125E-6</v>
      </c>
      <c r="H12">
        <v>4.76837158203125E-7</v>
      </c>
      <c r="I12">
        <v>-1.7881393432617188E-7</v>
      </c>
    </row>
    <row r="13" spans="1:9" x14ac:dyDescent="0.15">
      <c r="A13">
        <v>3.637978807091713E-11</v>
      </c>
      <c r="B13">
        <v>2.3283064365386963E-10</v>
      </c>
      <c r="C13">
        <v>1.0000000260770321</v>
      </c>
      <c r="D13">
        <v>-5.9604644775390625E-8</v>
      </c>
      <c r="E13">
        <v>3.5762786865234375E-7</v>
      </c>
      <c r="F13">
        <v>-1.1920928955078125E-6</v>
      </c>
      <c r="G13">
        <v>1.1920928955078125E-6</v>
      </c>
      <c r="H13">
        <v>0</v>
      </c>
      <c r="I13">
        <v>8.9406967163085938E-8</v>
      </c>
    </row>
    <row r="14" spans="1:9" x14ac:dyDescent="0.15">
      <c r="A14">
        <v>1.8189894035458565E-11</v>
      </c>
      <c r="B14">
        <v>4.6566128730773926E-9</v>
      </c>
      <c r="C14">
        <v>-3.7252902984619141E-9</v>
      </c>
      <c r="D14">
        <v>1.0000000298023224</v>
      </c>
      <c r="E14">
        <v>-4.76837158203125E-7</v>
      </c>
      <c r="F14">
        <v>1.1920928955078125E-6</v>
      </c>
      <c r="G14">
        <v>-2.86102294921875E-6</v>
      </c>
      <c r="H14">
        <v>1.1920928955078125E-6</v>
      </c>
      <c r="I14">
        <v>-2.6822090148925781E-7</v>
      </c>
    </row>
    <row r="15" spans="1:9" x14ac:dyDescent="0.15">
      <c r="A15">
        <v>-3.637978807091713E-12</v>
      </c>
      <c r="B15">
        <v>2.3283064365386963E-10</v>
      </c>
      <c r="C15">
        <v>5.5879354476928711E-8</v>
      </c>
      <c r="D15">
        <v>1.4901161193847656E-7</v>
      </c>
      <c r="E15">
        <v>0.9999997615814209</v>
      </c>
      <c r="F15">
        <v>1.0728836059570313E-6</v>
      </c>
      <c r="G15">
        <v>2.384185791015625E-7</v>
      </c>
      <c r="H15">
        <v>2.384185791015625E-7</v>
      </c>
      <c r="I15">
        <v>-1.1920928955078125E-7</v>
      </c>
    </row>
    <row r="16" spans="1:9" x14ac:dyDescent="0.15">
      <c r="A16">
        <v>-2.1827872842550278E-11</v>
      </c>
      <c r="B16">
        <v>1.1641532182693481E-9</v>
      </c>
      <c r="C16">
        <v>-7.4505805969238281E-9</v>
      </c>
      <c r="D16">
        <v>1.6391277313232422E-7</v>
      </c>
      <c r="E16">
        <v>-3.5762786865234375E-7</v>
      </c>
      <c r="F16">
        <v>1.0000007152557373</v>
      </c>
      <c r="G16">
        <v>0</v>
      </c>
      <c r="H16">
        <v>4.76837158203125E-7</v>
      </c>
      <c r="I16">
        <v>-2.0861625671386719E-7</v>
      </c>
    </row>
    <row r="17" spans="1:9" x14ac:dyDescent="0.15">
      <c r="A17">
        <v>1.4551915228366852E-11</v>
      </c>
      <c r="B17">
        <v>-2.3283064365386963E-10</v>
      </c>
      <c r="C17">
        <v>-7.4505805969238281E-9</v>
      </c>
      <c r="D17">
        <v>1.4901161193847656E-8</v>
      </c>
      <c r="E17">
        <v>5.9604644775390625E-8</v>
      </c>
      <c r="F17">
        <v>-2.384185791015625E-7</v>
      </c>
      <c r="G17">
        <v>0.99999904632568359</v>
      </c>
      <c r="H17">
        <v>2.384185791015625E-7</v>
      </c>
      <c r="I17">
        <v>0</v>
      </c>
    </row>
    <row r="18" spans="1:9" x14ac:dyDescent="0.15">
      <c r="A18">
        <v>1.8189894035458565E-11</v>
      </c>
      <c r="B18">
        <v>-9.3132257461547852E-10</v>
      </c>
      <c r="C18">
        <v>7.4505805969238281E-9</v>
      </c>
      <c r="D18">
        <v>-2.9802322387695313E-8</v>
      </c>
      <c r="E18">
        <v>5.3644180297851563E-7</v>
      </c>
      <c r="F18">
        <v>-3.5762786865234375E-7</v>
      </c>
      <c r="G18">
        <v>-5.9604644775390625E-7</v>
      </c>
      <c r="H18">
        <v>0.99999880790710449</v>
      </c>
      <c r="I18">
        <v>1.4901161193847656E-7</v>
      </c>
    </row>
    <row r="19" spans="1:9" x14ac:dyDescent="0.15">
      <c r="A19">
        <v>2.5465851649641991E-11</v>
      </c>
      <c r="B19">
        <v>6.9849193096160889E-10</v>
      </c>
      <c r="C19">
        <v>9.3132257461547852E-9</v>
      </c>
      <c r="D19">
        <v>4.4703483581542969E-8</v>
      </c>
      <c r="E19">
        <v>-5.9604644775390625E-8</v>
      </c>
      <c r="F19">
        <v>-5.9604644775390625E-7</v>
      </c>
      <c r="G19">
        <v>1.1920928955078125E-7</v>
      </c>
      <c r="H19">
        <v>2.384185791015625E-7</v>
      </c>
      <c r="I19">
        <v>0.99999997019767761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9"/>
  <sheetViews>
    <sheetView workbookViewId="0"/>
  </sheetViews>
  <sheetFormatPr defaultRowHeight="13.5" x14ac:dyDescent="0.15"/>
  <sheetData>
    <row r="1" spans="1:100" x14ac:dyDescent="0.15">
      <c r="A1">
        <f t="array" ref="A1:CV9">MMULT(inv!A1:I9,trans!A1:CV9)</f>
        <v>0.79747776526098546</v>
      </c>
      <c r="B1">
        <v>0.56710467705024026</v>
      </c>
      <c r="C1">
        <v>0.54806271375720006</v>
      </c>
      <c r="D1">
        <v>-9.8012105526504065E-2</v>
      </c>
      <c r="E1">
        <v>-0.11871114867011474</v>
      </c>
      <c r="F1">
        <v>-0.19703605399267587</v>
      </c>
      <c r="G1">
        <v>-0.22287836108813014</v>
      </c>
      <c r="H1">
        <v>-0.23833099112711345</v>
      </c>
      <c r="I1">
        <v>-0.24363612214343061</v>
      </c>
      <c r="J1">
        <v>-0.16806040621834814</v>
      </c>
      <c r="K1">
        <v>-0.13895205393806115</v>
      </c>
      <c r="L1">
        <v>-4.3403545269130948E-2</v>
      </c>
      <c r="M1">
        <v>-7.5284820682304972E-3</v>
      </c>
      <c r="N1">
        <v>3.8125706215362903E-3</v>
      </c>
      <c r="O1">
        <v>2.2988785052477093E-2</v>
      </c>
      <c r="P1">
        <v>3.7006418903382576E-2</v>
      </c>
      <c r="Q1">
        <v>3.9083945528653449E-2</v>
      </c>
      <c r="R1">
        <v>4.2922190057927176E-2</v>
      </c>
      <c r="S1">
        <v>4.4431302269967367E-2</v>
      </c>
      <c r="T1">
        <v>5.5887615350171359E-2</v>
      </c>
      <c r="U1">
        <v>5.9568099152168312E-2</v>
      </c>
      <c r="V1">
        <v>6.6605021637202361E-2</v>
      </c>
      <c r="W1">
        <v>7.3601067642555362E-2</v>
      </c>
      <c r="X1">
        <v>8.2504312490601098E-2</v>
      </c>
      <c r="Y1">
        <v>8.3016847871853483E-2</v>
      </c>
      <c r="Z1">
        <v>7.599086903975838E-2</v>
      </c>
      <c r="AA1">
        <v>7.5824882627522891E-2</v>
      </c>
      <c r="AB1">
        <v>6.5238159393094852E-2</v>
      </c>
      <c r="AC1">
        <v>5.4544274714406323E-2</v>
      </c>
      <c r="AD1">
        <v>5.4304833287553991E-2</v>
      </c>
      <c r="AE1">
        <v>4.0170387043698838E-2</v>
      </c>
      <c r="AF1">
        <v>2.5627510208306073E-2</v>
      </c>
      <c r="AG1">
        <v>8.8175912171991611E-3</v>
      </c>
      <c r="AH1">
        <v>1.5728415885511715E-3</v>
      </c>
      <c r="AI1">
        <v>-5.0909567542194445E-3</v>
      </c>
      <c r="AJ1">
        <v>-2.0138644611703116E-2</v>
      </c>
      <c r="AK1">
        <v>-2.2334523405165951E-2</v>
      </c>
      <c r="AL1">
        <v>-2.3750865630741469E-2</v>
      </c>
      <c r="AM1">
        <v>-3.1619083703255113E-2</v>
      </c>
      <c r="AN1">
        <v>-5.0517487328387345E-2</v>
      </c>
      <c r="AO1">
        <v>-5.5012645233058155E-2</v>
      </c>
      <c r="AP1">
        <v>-6.326502666143663E-2</v>
      </c>
      <c r="AQ1">
        <v>-6.8109936186284026E-2</v>
      </c>
      <c r="AR1">
        <v>-6.607525252027191E-2</v>
      </c>
      <c r="AS1">
        <v>-6.4969279578802386E-2</v>
      </c>
      <c r="AT1">
        <v>-6.3668497736678376E-2</v>
      </c>
      <c r="AU1">
        <v>-5.9697426458173553E-2</v>
      </c>
      <c r="AV1">
        <v>-5.7719033274028053E-2</v>
      </c>
      <c r="AW1">
        <v>-5.5774835301159342E-2</v>
      </c>
      <c r="AX1">
        <v>-4.1351288098091299E-2</v>
      </c>
      <c r="AY1">
        <v>-3.5224171160356477E-2</v>
      </c>
      <c r="AZ1">
        <v>-3.2501284327234536E-2</v>
      </c>
      <c r="BA1">
        <v>-2.1692207982502154E-2</v>
      </c>
      <c r="BB1">
        <v>-3.1379327264016155E-3</v>
      </c>
      <c r="BC1">
        <v>-1.3520632875829719E-3</v>
      </c>
      <c r="BD1">
        <v>1.5515988291841865E-2</v>
      </c>
      <c r="BE1">
        <v>3.4623530353782073E-2</v>
      </c>
      <c r="BF1">
        <v>4.488845995377666E-2</v>
      </c>
      <c r="BG1">
        <v>4.8711374761905901E-2</v>
      </c>
      <c r="BH1">
        <v>5.5278630847954702E-2</v>
      </c>
      <c r="BI1">
        <v>6.5433204092492758E-2</v>
      </c>
      <c r="BJ1">
        <v>7.7374440768117836E-2</v>
      </c>
      <c r="BK1">
        <v>7.8488372912485005E-2</v>
      </c>
      <c r="BL1">
        <v>7.8579042031858393E-2</v>
      </c>
      <c r="BM1">
        <v>5.9347485157474011E-2</v>
      </c>
      <c r="BN1">
        <v>5.1547911466549579E-2</v>
      </c>
      <c r="BO1">
        <v>2.1341845385506986E-2</v>
      </c>
      <c r="BP1">
        <v>1.8409918128483582E-2</v>
      </c>
      <c r="BQ1">
        <v>1.6800723346705126E-2</v>
      </c>
      <c r="BR1">
        <v>1.3135492173304897E-2</v>
      </c>
      <c r="BS1">
        <v>3.4448304449767875E-3</v>
      </c>
      <c r="BT1">
        <v>-8.4792323394680125E-3</v>
      </c>
      <c r="BU1">
        <v>-1.4093524411975977E-2</v>
      </c>
      <c r="BV1">
        <v>-1.4539602195242196E-2</v>
      </c>
      <c r="BW1">
        <v>-2.1818663621786527E-2</v>
      </c>
      <c r="BX1">
        <v>-2.2150473059724618E-2</v>
      </c>
      <c r="BY1">
        <v>-3.0817459539122183E-2</v>
      </c>
      <c r="BZ1">
        <v>-4.4568039153034533E-2</v>
      </c>
      <c r="CA1">
        <v>-4.9045082810465601E-2</v>
      </c>
      <c r="CB1">
        <v>-4.9370908597921925E-2</v>
      </c>
      <c r="CC1">
        <v>-4.8031264666860807E-2</v>
      </c>
      <c r="CD1">
        <v>-4.7844856374410938E-2</v>
      </c>
      <c r="CE1">
        <v>-4.7438371876694418E-2</v>
      </c>
      <c r="CF1">
        <v>-4.1505632739927023E-2</v>
      </c>
      <c r="CG1">
        <v>-3.6707030314403255E-2</v>
      </c>
      <c r="CH1">
        <v>-1.7034663856975385E-2</v>
      </c>
      <c r="CI1">
        <v>3.5884871135749563E-2</v>
      </c>
      <c r="CJ1">
        <v>6.9510253606495098E-2</v>
      </c>
      <c r="CK1">
        <v>7.0041304871210741E-2</v>
      </c>
      <c r="CL1">
        <v>6.9708716619516053E-2</v>
      </c>
      <c r="CM1">
        <v>6.5589550035156208E-2</v>
      </c>
      <c r="CN1">
        <v>5.843853323563053E-2</v>
      </c>
      <c r="CO1">
        <v>1.3934851684780369E-2</v>
      </c>
      <c r="CP1">
        <v>-1.2384261533043173E-2</v>
      </c>
      <c r="CQ1">
        <v>-1.903993426640227E-2</v>
      </c>
      <c r="CR1">
        <v>-6.3733199940088525E-2</v>
      </c>
      <c r="CS1">
        <v>-8.5719082151626935E-2</v>
      </c>
      <c r="CT1">
        <v>-7.9456881114765565E-2</v>
      </c>
      <c r="CU1">
        <v>-4.4506891022138007E-2</v>
      </c>
      <c r="CV1">
        <v>0.12564231485339405</v>
      </c>
    </row>
    <row r="2" spans="1:100" x14ac:dyDescent="0.15">
      <c r="A2">
        <v>-25.735194112006855</v>
      </c>
      <c r="B2">
        <v>-15.906219024194973</v>
      </c>
      <c r="C2">
        <v>-15.102118614611971</v>
      </c>
      <c r="D2">
        <v>10.579496833950019</v>
      </c>
      <c r="E2">
        <v>11.279123683323697</v>
      </c>
      <c r="F2">
        <v>13.619435969812285</v>
      </c>
      <c r="G2">
        <v>14.134999880489785</v>
      </c>
      <c r="H2">
        <v>14.172964026259615</v>
      </c>
      <c r="I2">
        <v>13.766114423090261</v>
      </c>
      <c r="J2">
        <v>7.758887595749612</v>
      </c>
      <c r="K2">
        <v>6.028710144120347</v>
      </c>
      <c r="L2">
        <v>0.81021400555876244</v>
      </c>
      <c r="M2">
        <v>-1.0031814733871078</v>
      </c>
      <c r="N2">
        <v>-1.5582852389224622</v>
      </c>
      <c r="O2">
        <v>-2.4726982948696525</v>
      </c>
      <c r="P2">
        <v>-3.1171236525409265</v>
      </c>
      <c r="Q2">
        <v>-3.2104703929926628</v>
      </c>
      <c r="R2">
        <v>-3.3811987902303509</v>
      </c>
      <c r="S2">
        <v>-3.4476643569615137</v>
      </c>
      <c r="T2">
        <v>-3.9374271331317279</v>
      </c>
      <c r="U2">
        <v>-4.0877790549771476</v>
      </c>
      <c r="V2">
        <v>-4.3613445780819049</v>
      </c>
      <c r="W2">
        <v>-4.6044795012768738</v>
      </c>
      <c r="X2">
        <v>-4.7612332674597422</v>
      </c>
      <c r="Y2">
        <v>-4.7103880284829476</v>
      </c>
      <c r="Z2">
        <v>-3.9626375057060317</v>
      </c>
      <c r="AA2">
        <v>-3.9498449672061651</v>
      </c>
      <c r="AB2">
        <v>-3.1983275693484408</v>
      </c>
      <c r="AC2">
        <v>-2.5032701407923166</v>
      </c>
      <c r="AD2">
        <v>-2.4881291431161747</v>
      </c>
      <c r="AE2">
        <v>-1.6168929092040898</v>
      </c>
      <c r="AF2">
        <v>-0.75533391402288341</v>
      </c>
      <c r="AG2">
        <v>0.2081002373553531</v>
      </c>
      <c r="AH2">
        <v>0.6140122469120648</v>
      </c>
      <c r="AI2">
        <v>0.98263787653691281</v>
      </c>
      <c r="AJ2">
        <v>1.7979800856178532</v>
      </c>
      <c r="AK2">
        <v>1.9148691730428524</v>
      </c>
      <c r="AL2">
        <v>1.9899592360211074</v>
      </c>
      <c r="AM2">
        <v>2.4024813396047691</v>
      </c>
      <c r="AN2">
        <v>3.3517590713507168</v>
      </c>
      <c r="AO2">
        <v>3.5642761864922754</v>
      </c>
      <c r="AP2">
        <v>3.9255878829658712</v>
      </c>
      <c r="AQ2">
        <v>3.9033581623056648</v>
      </c>
      <c r="AR2">
        <v>3.731839791036009</v>
      </c>
      <c r="AS2">
        <v>3.6468843628862544</v>
      </c>
      <c r="AT2">
        <v>3.5507047646027559</v>
      </c>
      <c r="AU2">
        <v>3.2715851950952128</v>
      </c>
      <c r="AV2">
        <v>3.1376364104298915</v>
      </c>
      <c r="AW2">
        <v>3.0082336798428457</v>
      </c>
      <c r="AX2">
        <v>2.0889818224365229</v>
      </c>
      <c r="AY2">
        <v>1.7119261439030993</v>
      </c>
      <c r="AZ2">
        <v>1.5461184181698968</v>
      </c>
      <c r="BA2">
        <v>0.89658134335689965</v>
      </c>
      <c r="BB2">
        <v>-0.19279678792975119</v>
      </c>
      <c r="BC2">
        <v>-0.29620731337200823</v>
      </c>
      <c r="BD2">
        <v>-1.2616737645631133</v>
      </c>
      <c r="BE2">
        <v>-2.3307388977204937</v>
      </c>
      <c r="BF2">
        <v>-2.8929181992715485</v>
      </c>
      <c r="BG2">
        <v>-3.099650535508772</v>
      </c>
      <c r="BH2">
        <v>-3.4506866939062775</v>
      </c>
      <c r="BI2">
        <v>-3.9792960242870095</v>
      </c>
      <c r="BJ2">
        <v>-4.5401294678197246</v>
      </c>
      <c r="BK2">
        <v>-4.5695293174587732</v>
      </c>
      <c r="BL2">
        <v>-4.5308999421240514</v>
      </c>
      <c r="BM2">
        <v>-3.2537576790996354</v>
      </c>
      <c r="BN2">
        <v>-2.7811898094009848</v>
      </c>
      <c r="BO2">
        <v>-1.0075685187784984</v>
      </c>
      <c r="BP2">
        <v>-0.83880313501322235</v>
      </c>
      <c r="BQ2">
        <v>-0.74639294275129942</v>
      </c>
      <c r="BR2">
        <v>-0.53647777836249588</v>
      </c>
      <c r="BS2">
        <v>1.4781510826651356E-2</v>
      </c>
      <c r="BT2">
        <v>0.68546411662191531</v>
      </c>
      <c r="BU2">
        <v>0.99809085541164677</v>
      </c>
      <c r="BV2">
        <v>1.022835601065708</v>
      </c>
      <c r="BW2">
        <v>1.4244455982307045</v>
      </c>
      <c r="BX2">
        <v>1.4426478257428244</v>
      </c>
      <c r="BY2">
        <v>1.9142038391328242</v>
      </c>
      <c r="BZ2">
        <v>2.6380950560305791</v>
      </c>
      <c r="CA2">
        <v>2.8582270154311118</v>
      </c>
      <c r="CB2">
        <v>2.8734396955806005</v>
      </c>
      <c r="CC2">
        <v>2.6406710787778138</v>
      </c>
      <c r="CD2">
        <v>2.6283864813667606</v>
      </c>
      <c r="CE2">
        <v>2.6017163678079669</v>
      </c>
      <c r="CF2">
        <v>2.2240379465947626</v>
      </c>
      <c r="CG2">
        <v>1.9273771615698934</v>
      </c>
      <c r="CH2">
        <v>0.74574579447653377</v>
      </c>
      <c r="CI2">
        <v>-2.3094389085163129</v>
      </c>
      <c r="CJ2">
        <v>-4.1322988344254554</v>
      </c>
      <c r="CK2">
        <v>-4.1058637272508349</v>
      </c>
      <c r="CL2">
        <v>-4.0812100764305796</v>
      </c>
      <c r="CM2">
        <v>-3.8062479393411195</v>
      </c>
      <c r="CN2">
        <v>-3.3584094955294859</v>
      </c>
      <c r="CO2">
        <v>-0.69744115810317453</v>
      </c>
      <c r="CP2">
        <v>0.84218237224558834</v>
      </c>
      <c r="CQ2">
        <v>1.2290613870281959</v>
      </c>
      <c r="CR2">
        <v>3.799952255707467</v>
      </c>
      <c r="CS2">
        <v>5.0185512746975292</v>
      </c>
      <c r="CT2">
        <v>4.6079825722263195</v>
      </c>
      <c r="CU2">
        <v>2.5290965416643303</v>
      </c>
      <c r="CV2">
        <v>-7.3915873002843</v>
      </c>
    </row>
    <row r="3" spans="1:100" x14ac:dyDescent="0.15">
      <c r="A3">
        <v>291.68294897397453</v>
      </c>
      <c r="B3">
        <v>164.70225056254912</v>
      </c>
      <c r="C3">
        <v>154.39157172874783</v>
      </c>
      <c r="D3">
        <v>-160.55341603668435</v>
      </c>
      <c r="E3">
        <v>-168.00439575611952</v>
      </c>
      <c r="F3">
        <v>-189.73541896768444</v>
      </c>
      <c r="G3">
        <v>-191.54459401283512</v>
      </c>
      <c r="H3">
        <v>-187.01839844822561</v>
      </c>
      <c r="I3">
        <v>-176.78991306771269</v>
      </c>
      <c r="J3">
        <v>-79.803012586000875</v>
      </c>
      <c r="K3">
        <v>-54.753148768216235</v>
      </c>
      <c r="L3">
        <v>16.722013905058972</v>
      </c>
      <c r="M3">
        <v>39.825264587197637</v>
      </c>
      <c r="N3">
        <v>46.622871472747995</v>
      </c>
      <c r="O3">
        <v>57.415697224365161</v>
      </c>
      <c r="P3">
        <v>64.5913108888941</v>
      </c>
      <c r="Q3">
        <v>65.589278076063749</v>
      </c>
      <c r="R3">
        <v>67.380063485051394</v>
      </c>
      <c r="S3">
        <v>68.063848314989329</v>
      </c>
      <c r="T3">
        <v>72.795741901687691</v>
      </c>
      <c r="U3">
        <v>74.097404256976574</v>
      </c>
      <c r="V3">
        <v>76.147197228200412</v>
      </c>
      <c r="W3">
        <v>77.266918482593837</v>
      </c>
      <c r="X3">
        <v>73.777051557333593</v>
      </c>
      <c r="Y3">
        <v>71.639004934222712</v>
      </c>
      <c r="Z3">
        <v>54.136398830280626</v>
      </c>
      <c r="AA3">
        <v>53.880503825216927</v>
      </c>
      <c r="AB3">
        <v>39.634356714108783</v>
      </c>
      <c r="AC3">
        <v>27.304371245707856</v>
      </c>
      <c r="AD3">
        <v>27.041833802372075</v>
      </c>
      <c r="AE3">
        <v>12.267545250263879</v>
      </c>
      <c r="AF3">
        <v>-1.8146263348378255</v>
      </c>
      <c r="AG3">
        <v>-17.046950621642182</v>
      </c>
      <c r="AH3">
        <v>-23.310107005570586</v>
      </c>
      <c r="AI3">
        <v>-28.916611522688356</v>
      </c>
      <c r="AJ3">
        <v>-41.0167123628963</v>
      </c>
      <c r="AK3">
        <v>-42.713328466091269</v>
      </c>
      <c r="AL3">
        <v>-43.797567803506837</v>
      </c>
      <c r="AM3">
        <v>-49.666628342680099</v>
      </c>
      <c r="AN3">
        <v>-62.364290182093669</v>
      </c>
      <c r="AO3">
        <v>-64.932668226352689</v>
      </c>
      <c r="AP3">
        <v>-68.656401939910324</v>
      </c>
      <c r="AQ3">
        <v>-62.702712039679682</v>
      </c>
      <c r="AR3">
        <v>-58.908560264279913</v>
      </c>
      <c r="AS3">
        <v>-57.133406304295931</v>
      </c>
      <c r="AT3">
        <v>-55.175263414683968</v>
      </c>
      <c r="AU3">
        <v>-49.699741893321288</v>
      </c>
      <c r="AV3">
        <v>-47.148637147100771</v>
      </c>
      <c r="AW3">
        <v>-44.718742875247472</v>
      </c>
      <c r="AX3">
        <v>-28.098382263966414</v>
      </c>
      <c r="AY3">
        <v>-21.501040427480348</v>
      </c>
      <c r="AZ3">
        <v>-18.629550775718144</v>
      </c>
      <c r="BA3">
        <v>-7.528537608136503</v>
      </c>
      <c r="BB3">
        <v>10.648017208818601</v>
      </c>
      <c r="BC3">
        <v>12.347916792575234</v>
      </c>
      <c r="BD3">
        <v>28.015543538193015</v>
      </c>
      <c r="BE3">
        <v>44.913309373345328</v>
      </c>
      <c r="BF3">
        <v>53.568569004293749</v>
      </c>
      <c r="BG3">
        <v>56.699726998118422</v>
      </c>
      <c r="BH3">
        <v>61.934522254261537</v>
      </c>
      <c r="BI3">
        <v>69.528397687570759</v>
      </c>
      <c r="BJ3">
        <v>76.295875926058216</v>
      </c>
      <c r="BK3">
        <v>76.107961254165275</v>
      </c>
      <c r="BL3">
        <v>74.624224889139441</v>
      </c>
      <c r="BM3">
        <v>50.288576214166824</v>
      </c>
      <c r="BN3">
        <v>42.038558507512789</v>
      </c>
      <c r="BO3">
        <v>12.097760092045064</v>
      </c>
      <c r="BP3">
        <v>9.31215533001523</v>
      </c>
      <c r="BQ3">
        <v>7.7910049875499681</v>
      </c>
      <c r="BR3">
        <v>4.3464826014533173</v>
      </c>
      <c r="BS3">
        <v>-4.6269398374424782</v>
      </c>
      <c r="BT3">
        <v>-15.39543632187997</v>
      </c>
      <c r="BU3">
        <v>-20.352253256642143</v>
      </c>
      <c r="BV3">
        <v>-20.742680682145874</v>
      </c>
      <c r="BW3">
        <v>-27.035195904696593</v>
      </c>
      <c r="BX3">
        <v>-27.318245532020228</v>
      </c>
      <c r="BY3">
        <v>-34.570450448052725</v>
      </c>
      <c r="BZ3">
        <v>-45.192525736463722</v>
      </c>
      <c r="CA3">
        <v>-48.080904965027003</v>
      </c>
      <c r="CB3">
        <v>-48.261434747604653</v>
      </c>
      <c r="CC3">
        <v>-41.245266134792473</v>
      </c>
      <c r="CD3">
        <v>-41.009816590230912</v>
      </c>
      <c r="CE3">
        <v>-40.500723708013538</v>
      </c>
      <c r="CF3">
        <v>-33.495689794188365</v>
      </c>
      <c r="CG3">
        <v>-28.153338813455775</v>
      </c>
      <c r="CH3">
        <v>-7.5167501372052357</v>
      </c>
      <c r="CI3">
        <v>43.490585831343196</v>
      </c>
      <c r="CJ3">
        <v>71.554004825418815</v>
      </c>
      <c r="CK3">
        <v>69.951865163398907</v>
      </c>
      <c r="CL3">
        <v>69.428606660570949</v>
      </c>
      <c r="CM3">
        <v>64.07266023568809</v>
      </c>
      <c r="CN3">
        <v>55.866121620172635</v>
      </c>
      <c r="CO3">
        <v>9.446551226079464</v>
      </c>
      <c r="CP3">
        <v>-16.753755575511605</v>
      </c>
      <c r="CQ3">
        <v>-23.288884006207809</v>
      </c>
      <c r="CR3">
        <v>-66.17935403296724</v>
      </c>
      <c r="CS3">
        <v>-85.57265341700986</v>
      </c>
      <c r="CT3">
        <v>-77.686047461349517</v>
      </c>
      <c r="CU3">
        <v>-41.567213103175163</v>
      </c>
      <c r="CV3">
        <v>126.8839002866298</v>
      </c>
    </row>
    <row r="4" spans="1:100" x14ac:dyDescent="0.15">
      <c r="A4">
        <v>-1618.934619560659</v>
      </c>
      <c r="B4">
        <v>-857.0138754226067</v>
      </c>
      <c r="C4">
        <v>-795.49437589562444</v>
      </c>
      <c r="D4">
        <v>1020.6464175318948</v>
      </c>
      <c r="E4">
        <v>1058.5608986633592</v>
      </c>
      <c r="F4">
        <v>1153.0171052674743</v>
      </c>
      <c r="G4">
        <v>1143.7500986478824</v>
      </c>
      <c r="H4">
        <v>1096.1262194111316</v>
      </c>
      <c r="I4">
        <v>1014.8778027102248</v>
      </c>
      <c r="J4">
        <v>362.69397932023332</v>
      </c>
      <c r="K4">
        <v>204.86276095598737</v>
      </c>
      <c r="L4">
        <v>-226.49422348327795</v>
      </c>
      <c r="M4">
        <v>-356.9168438945465</v>
      </c>
      <c r="N4">
        <v>-393.71348440535706</v>
      </c>
      <c r="O4">
        <v>-449.69821477947102</v>
      </c>
      <c r="P4">
        <v>-484.21768238006331</v>
      </c>
      <c r="Q4">
        <v>-488.74233163466391</v>
      </c>
      <c r="R4">
        <v>-496.6220188027437</v>
      </c>
      <c r="S4">
        <v>-499.53598659586748</v>
      </c>
      <c r="T4">
        <v>-517.48495459087678</v>
      </c>
      <c r="U4">
        <v>-521.26043786678474</v>
      </c>
      <c r="V4">
        <v>-524.46932789339849</v>
      </c>
      <c r="W4">
        <v>-519.25527816066403</v>
      </c>
      <c r="X4">
        <v>-467.52745741755569</v>
      </c>
      <c r="Y4">
        <v>-446.76264464986048</v>
      </c>
      <c r="Z4">
        <v>-301.55478757599394</v>
      </c>
      <c r="AA4">
        <v>-299.57175749185831</v>
      </c>
      <c r="AB4">
        <v>-192.17614926974574</v>
      </c>
      <c r="AC4">
        <v>-102.67843466922074</v>
      </c>
      <c r="AD4">
        <v>-100.79967268258059</v>
      </c>
      <c r="AE4">
        <v>3.3892358402909508</v>
      </c>
      <c r="AF4">
        <v>100.14338874574457</v>
      </c>
      <c r="AG4">
        <v>202.1142022898706</v>
      </c>
      <c r="AH4">
        <v>243.18093220487913</v>
      </c>
      <c r="AI4">
        <v>279.46537045786931</v>
      </c>
      <c r="AJ4">
        <v>355.9442848879728</v>
      </c>
      <c r="AK4">
        <v>366.42562756074972</v>
      </c>
      <c r="AL4">
        <v>373.08644623582677</v>
      </c>
      <c r="AM4">
        <v>408.55807980803138</v>
      </c>
      <c r="AN4">
        <v>479.71201574174484</v>
      </c>
      <c r="AO4">
        <v>492.05195375783569</v>
      </c>
      <c r="AP4">
        <v>504.55329950811574</v>
      </c>
      <c r="AQ4">
        <v>427.8404639010314</v>
      </c>
      <c r="AR4">
        <v>394.96354244841314</v>
      </c>
      <c r="AS4">
        <v>380.05754408565736</v>
      </c>
      <c r="AT4">
        <v>363.8640649883182</v>
      </c>
      <c r="AU4">
        <v>319.60881582796173</v>
      </c>
      <c r="AV4">
        <v>299.38327354450121</v>
      </c>
      <c r="AW4">
        <v>280.30184358856422</v>
      </c>
      <c r="AX4">
        <v>153.22490057676623</v>
      </c>
      <c r="AY4">
        <v>104.00968831224964</v>
      </c>
      <c r="AZ4">
        <v>82.760276154625899</v>
      </c>
      <c r="BA4">
        <v>1.4782427247846499</v>
      </c>
      <c r="BB4">
        <v>-128.96482428746094</v>
      </c>
      <c r="BC4">
        <v>-141.00579282992112</v>
      </c>
      <c r="BD4">
        <v>-250.68922903096245</v>
      </c>
      <c r="BE4">
        <v>-366.01958923854545</v>
      </c>
      <c r="BF4">
        <v>-423.50291308411397</v>
      </c>
      <c r="BG4">
        <v>-443.92681946088851</v>
      </c>
      <c r="BH4">
        <v>-477.46746005567547</v>
      </c>
      <c r="BI4">
        <v>-523.93612505127385</v>
      </c>
      <c r="BJ4">
        <v>-555.06917913549114</v>
      </c>
      <c r="BK4">
        <v>-549.02381343158777</v>
      </c>
      <c r="BL4">
        <v>-532.4686964925786</v>
      </c>
      <c r="BM4">
        <v>-334.84918899153126</v>
      </c>
      <c r="BN4">
        <v>-272.37815616308944</v>
      </c>
      <c r="BO4">
        <v>-52.359388910699636</v>
      </c>
      <c r="BP4">
        <v>-32.321891181287356</v>
      </c>
      <c r="BQ4">
        <v>-21.409156483248807</v>
      </c>
      <c r="BR4">
        <v>3.2249517011223361</v>
      </c>
      <c r="BS4">
        <v>66.884209982235916</v>
      </c>
      <c r="BT4">
        <v>142.19704708491918</v>
      </c>
      <c r="BU4">
        <v>176.39770749164745</v>
      </c>
      <c r="BV4">
        <v>179.07706998870708</v>
      </c>
      <c r="BW4">
        <v>221.92211063276045</v>
      </c>
      <c r="BX4">
        <v>223.83275462978054</v>
      </c>
      <c r="BY4">
        <v>272.15407797240186</v>
      </c>
      <c r="BZ4">
        <v>338.83322771638632</v>
      </c>
      <c r="CA4">
        <v>354.06545725581236</v>
      </c>
      <c r="CB4">
        <v>354.83580123819411</v>
      </c>
      <c r="CC4">
        <v>279.92937220120803</v>
      </c>
      <c r="CD4">
        <v>277.97546595381573</v>
      </c>
      <c r="CE4">
        <v>273.76414924766868</v>
      </c>
      <c r="CF4">
        <v>217.1462208959274</v>
      </c>
      <c r="CG4">
        <v>175.03563016885892</v>
      </c>
      <c r="CH4">
        <v>16.76992049952969</v>
      </c>
      <c r="CI4">
        <v>-357.86637156829238</v>
      </c>
      <c r="CJ4">
        <v>-546.2008891524747</v>
      </c>
      <c r="CK4">
        <v>-525.54812719859183</v>
      </c>
      <c r="CL4">
        <v>-520.84299421217293</v>
      </c>
      <c r="CM4">
        <v>-475.55661797337234</v>
      </c>
      <c r="CN4">
        <v>-409.53336097300053</v>
      </c>
      <c r="CO4">
        <v>-52.197010135278106</v>
      </c>
      <c r="CP4">
        <v>144.766756426543</v>
      </c>
      <c r="CQ4">
        <v>193.53871409222484</v>
      </c>
      <c r="CR4">
        <v>509.6336245238781</v>
      </c>
      <c r="CS4">
        <v>645.37396144121885</v>
      </c>
      <c r="CT4">
        <v>579.16566887125373</v>
      </c>
      <c r="CU4">
        <v>301.53602410852909</v>
      </c>
      <c r="CV4">
        <v>-964.65057007595897</v>
      </c>
    </row>
    <row r="5" spans="1:100" x14ac:dyDescent="0.15">
      <c r="A5">
        <v>4993.4767706713919</v>
      </c>
      <c r="B5">
        <v>2517.9608244950768</v>
      </c>
      <c r="C5">
        <v>2318.943430381853</v>
      </c>
      <c r="D5">
        <v>-3402.3923536345728</v>
      </c>
      <c r="E5">
        <v>-3509.2849704268369</v>
      </c>
      <c r="F5">
        <v>-3730.7881679006719</v>
      </c>
      <c r="G5">
        <v>-3653.5347604720491</v>
      </c>
      <c r="H5">
        <v>-3451.4627724308002</v>
      </c>
      <c r="I5">
        <v>-3142.2420783107536</v>
      </c>
      <c r="J5">
        <v>-876.18281589991864</v>
      </c>
      <c r="K5">
        <v>-351.91677493809163</v>
      </c>
      <c r="L5">
        <v>1031.9331398719823</v>
      </c>
      <c r="M5">
        <v>1425.6309885254354</v>
      </c>
      <c r="N5">
        <v>1532.0498870261974</v>
      </c>
      <c r="O5">
        <v>1686.4492677980145</v>
      </c>
      <c r="P5">
        <v>1772.9660973064488</v>
      </c>
      <c r="Q5">
        <v>1783.3494939696118</v>
      </c>
      <c r="R5">
        <v>1800.5523201652429</v>
      </c>
      <c r="S5">
        <v>1806.5553361765276</v>
      </c>
      <c r="T5">
        <v>1834.874448589836</v>
      </c>
      <c r="U5">
        <v>1835.7335162589882</v>
      </c>
      <c r="V5">
        <v>1820.7689599357554</v>
      </c>
      <c r="W5">
        <v>1771.0655462161158</v>
      </c>
      <c r="X5">
        <v>1520.907769026114</v>
      </c>
      <c r="Y5">
        <v>1432.7907374080205</v>
      </c>
      <c r="Z5">
        <v>859.56577880611678</v>
      </c>
      <c r="AA5">
        <v>852.02450064693403</v>
      </c>
      <c r="AB5">
        <v>450.32133643197426</v>
      </c>
      <c r="AC5">
        <v>123.61232681279512</v>
      </c>
      <c r="AD5">
        <v>116.82015055264833</v>
      </c>
      <c r="AE5">
        <v>-255.93793503062079</v>
      </c>
      <c r="AF5">
        <v>-595.38540347488561</v>
      </c>
      <c r="AG5">
        <v>-945.67774086834925</v>
      </c>
      <c r="AH5">
        <v>-1084.2417083766545</v>
      </c>
      <c r="AI5">
        <v>-1205.2290181196845</v>
      </c>
      <c r="AJ5">
        <v>-1454.5595130203083</v>
      </c>
      <c r="AK5">
        <v>-1487.9532415230324</v>
      </c>
      <c r="AL5">
        <v>-1509.0512451360282</v>
      </c>
      <c r="AM5">
        <v>-1619.4606737258555</v>
      </c>
      <c r="AN5">
        <v>-1821.8359035383637</v>
      </c>
      <c r="AO5">
        <v>-1849.3214399736426</v>
      </c>
      <c r="AP5">
        <v>-1853.7789672747313</v>
      </c>
      <c r="AQ5">
        <v>-1473.7826455220893</v>
      </c>
      <c r="AR5">
        <v>-1336.8417624218127</v>
      </c>
      <c r="AS5">
        <v>-1275.9019583099944</v>
      </c>
      <c r="AT5">
        <v>-1210.3190317991248</v>
      </c>
      <c r="AU5">
        <v>-1033.6873285468318</v>
      </c>
      <c r="AV5">
        <v>-953.98531685402122</v>
      </c>
      <c r="AW5">
        <v>-879.27824227805104</v>
      </c>
      <c r="AX5">
        <v>-391.02654587931465</v>
      </c>
      <c r="AY5">
        <v>-205.36286522867158</v>
      </c>
      <c r="AZ5">
        <v>-125.6964009264193</v>
      </c>
      <c r="BA5">
        <v>176.48488453106256</v>
      </c>
      <c r="BB5">
        <v>653.42709842773911</v>
      </c>
      <c r="BC5">
        <v>696.95620260533178</v>
      </c>
      <c r="BD5">
        <v>1089.2683501792781</v>
      </c>
      <c r="BE5">
        <v>1491.8423711322248</v>
      </c>
      <c r="BF5">
        <v>1686.8961363795097</v>
      </c>
      <c r="BG5">
        <v>1754.8352821178269</v>
      </c>
      <c r="BH5">
        <v>1864.1262458197307</v>
      </c>
      <c r="BI5">
        <v>2007.0785671548801</v>
      </c>
      <c r="BJ5">
        <v>2060.7627189642517</v>
      </c>
      <c r="BK5">
        <v>2022.0359013304114</v>
      </c>
      <c r="BL5">
        <v>1940.3039145756047</v>
      </c>
      <c r="BM5">
        <v>1130.5678083687089</v>
      </c>
      <c r="BN5">
        <v>888.54393017338589</v>
      </c>
      <c r="BO5">
        <v>58.587350145913661</v>
      </c>
      <c r="BP5">
        <v>-15.485290018143132</v>
      </c>
      <c r="BQ5">
        <v>-55.720411383081228</v>
      </c>
      <c r="BR5">
        <v>-146.26572230039164</v>
      </c>
      <c r="BS5">
        <v>-378.35418376512825</v>
      </c>
      <c r="BT5">
        <v>-648.87454387173057</v>
      </c>
      <c r="BU5">
        <v>-769.92678695591167</v>
      </c>
      <c r="BV5">
        <v>-779.3534185080789</v>
      </c>
      <c r="BW5">
        <v>-928.74879159778357</v>
      </c>
      <c r="BX5">
        <v>-935.34425317123532</v>
      </c>
      <c r="BY5">
        <v>-1099.5680098505691</v>
      </c>
      <c r="BZ5">
        <v>-1309.1005596444011</v>
      </c>
      <c r="CA5">
        <v>-1344.0285098692402</v>
      </c>
      <c r="CB5">
        <v>-1344.8272905731574</v>
      </c>
      <c r="CC5">
        <v>-970.62477282620966</v>
      </c>
      <c r="CD5">
        <v>-962.33496997691691</v>
      </c>
      <c r="CE5">
        <v>-944.5129104424268</v>
      </c>
      <c r="CF5">
        <v>-709.38537959661335</v>
      </c>
      <c r="CG5">
        <v>-538.18211703188717</v>
      </c>
      <c r="CH5">
        <v>89.783690199255943</v>
      </c>
      <c r="CI5">
        <v>1516.3709165304899</v>
      </c>
      <c r="CJ5">
        <v>2164.6296900250018</v>
      </c>
      <c r="CK5">
        <v>2050.8356514126062</v>
      </c>
      <c r="CL5">
        <v>2029.480720769614</v>
      </c>
      <c r="CM5">
        <v>1833.152145665139</v>
      </c>
      <c r="CN5">
        <v>1558.3709138147533</v>
      </c>
      <c r="CO5">
        <v>128.48160403966904</v>
      </c>
      <c r="CP5">
        <v>-642.19815660268068</v>
      </c>
      <c r="CQ5">
        <v>-831.68183638900518</v>
      </c>
      <c r="CR5">
        <v>-2044.3417067080736</v>
      </c>
      <c r="CS5">
        <v>-2536.516833730042</v>
      </c>
      <c r="CT5">
        <v>-2249.7939959019423</v>
      </c>
      <c r="CU5">
        <v>-1137.4102040678263</v>
      </c>
      <c r="CV5">
        <v>3827.5255127847195</v>
      </c>
    </row>
    <row r="6" spans="1:100" x14ac:dyDescent="0.15">
      <c r="A6">
        <v>-8979.9371206009764</v>
      </c>
      <c r="B6">
        <v>-4359.6323304588523</v>
      </c>
      <c r="C6">
        <v>-3989.4433572242297</v>
      </c>
      <c r="D6">
        <v>6430.9708966788749</v>
      </c>
      <c r="E6">
        <v>6607.3432019600996</v>
      </c>
      <c r="F6">
        <v>6900.4162301607585</v>
      </c>
      <c r="G6">
        <v>6690.5352736813447</v>
      </c>
      <c r="H6">
        <v>6248.1002869834829</v>
      </c>
      <c r="I6">
        <v>5609.3992178065319</v>
      </c>
      <c r="J6">
        <v>1194.0764919260755</v>
      </c>
      <c r="K6">
        <v>206.18035835468646</v>
      </c>
      <c r="L6">
        <v>-2327.6631414780727</v>
      </c>
      <c r="M6">
        <v>-3009.7195553877623</v>
      </c>
      <c r="N6">
        <v>-3186.3086129729982</v>
      </c>
      <c r="O6">
        <v>-3429.4361616925084</v>
      </c>
      <c r="P6">
        <v>-3549.8347976603322</v>
      </c>
      <c r="Q6">
        <v>-3562.3658869504411</v>
      </c>
      <c r="R6">
        <v>-3581.2007364854676</v>
      </c>
      <c r="S6">
        <v>-3586.9479271953655</v>
      </c>
      <c r="T6">
        <v>-3592.9590638944655</v>
      </c>
      <c r="U6">
        <v>-3576.9215627542762</v>
      </c>
      <c r="V6">
        <v>-3510.0330228272478</v>
      </c>
      <c r="W6">
        <v>-3367.567867922653</v>
      </c>
      <c r="X6">
        <v>-2778.7318865109614</v>
      </c>
      <c r="Y6">
        <v>-2584.1658221861371</v>
      </c>
      <c r="Z6">
        <v>-1370.1713776180445</v>
      </c>
      <c r="AA6">
        <v>-1354.5751529009499</v>
      </c>
      <c r="AB6">
        <v>-533.06733159375881</v>
      </c>
      <c r="AC6">
        <v>123.6389487281881</v>
      </c>
      <c r="AD6">
        <v>137.19395757411212</v>
      </c>
      <c r="AE6">
        <v>875.19478319190466</v>
      </c>
      <c r="AF6">
        <v>1536.8651901152662</v>
      </c>
      <c r="AG6">
        <v>2207.6851084135915</v>
      </c>
      <c r="AH6">
        <v>2468.8631121697999</v>
      </c>
      <c r="AI6">
        <v>2694.4489137599558</v>
      </c>
      <c r="AJ6">
        <v>3149.4425005537269</v>
      </c>
      <c r="AK6">
        <v>3208.9919427072145</v>
      </c>
      <c r="AL6">
        <v>3246.388351039308</v>
      </c>
      <c r="AM6">
        <v>3438.4909846544997</v>
      </c>
      <c r="AN6">
        <v>3754.5491219542491</v>
      </c>
      <c r="AO6">
        <v>3781.7207649166412</v>
      </c>
      <c r="AP6">
        <v>3724.2856528934826</v>
      </c>
      <c r="AQ6">
        <v>2795.7659484498727</v>
      </c>
      <c r="AR6">
        <v>2492.0430803998897</v>
      </c>
      <c r="AS6">
        <v>2358.5211882329313</v>
      </c>
      <c r="AT6">
        <v>2215.7302695484104</v>
      </c>
      <c r="AU6">
        <v>1834.9950170670782</v>
      </c>
      <c r="AV6">
        <v>1664.7312663359917</v>
      </c>
      <c r="AW6">
        <v>1505.8814703409298</v>
      </c>
      <c r="AX6">
        <v>482.10189981397707</v>
      </c>
      <c r="AY6">
        <v>98.279714155505644</v>
      </c>
      <c r="AZ6">
        <v>-65.595780118223047</v>
      </c>
      <c r="BA6">
        <v>-682.90934772440232</v>
      </c>
      <c r="BB6">
        <v>-1643.4982658039371</v>
      </c>
      <c r="BC6">
        <v>-1730.2885420311359</v>
      </c>
      <c r="BD6">
        <v>-2504.8371877685422</v>
      </c>
      <c r="BE6">
        <v>-3281.0394200076698</v>
      </c>
      <c r="BF6">
        <v>-3646.197812005179</v>
      </c>
      <c r="BG6">
        <v>-3770.6228321125964</v>
      </c>
      <c r="BH6">
        <v>-3966.0433126565767</v>
      </c>
      <c r="BI6">
        <v>-4203.6227024903055</v>
      </c>
      <c r="BJ6">
        <v>-4197.4092852445319</v>
      </c>
      <c r="BK6">
        <v>-4087.3342381215189</v>
      </c>
      <c r="BL6">
        <v>-3881.499297199538</v>
      </c>
      <c r="BM6">
        <v>-2076.7847156245261</v>
      </c>
      <c r="BN6">
        <v>-1561.2902179630473</v>
      </c>
      <c r="BO6">
        <v>164.77924358472228</v>
      </c>
      <c r="BP6">
        <v>315.88877192139626</v>
      </c>
      <c r="BQ6">
        <v>397.75560924690217</v>
      </c>
      <c r="BR6">
        <v>581.42082479409873</v>
      </c>
      <c r="BS6">
        <v>1048.3122889902443</v>
      </c>
      <c r="BT6">
        <v>1584.0589510379359</v>
      </c>
      <c r="BU6">
        <v>1819.952741632238</v>
      </c>
      <c r="BV6">
        <v>1838.1979992371053</v>
      </c>
      <c r="BW6">
        <v>2124.3843552516773</v>
      </c>
      <c r="BX6">
        <v>2136.8696954408661</v>
      </c>
      <c r="BY6">
        <v>2441.8949792915955</v>
      </c>
      <c r="BZ6">
        <v>2791.4146506953984</v>
      </c>
      <c r="CA6">
        <v>2817.014379972592</v>
      </c>
      <c r="CB6">
        <v>2814.2479032296687</v>
      </c>
      <c r="CC6">
        <v>1837.841440083459</v>
      </c>
      <c r="CD6">
        <v>1818.5446293540299</v>
      </c>
      <c r="CE6">
        <v>1777.142968185246</v>
      </c>
      <c r="CF6">
        <v>1239.2701362073421</v>
      </c>
      <c r="CG6">
        <v>854.60459984466434</v>
      </c>
      <c r="CH6">
        <v>-526.37329305708408</v>
      </c>
      <c r="CI6">
        <v>-3544.0091060698032</v>
      </c>
      <c r="CJ6">
        <v>-4767.4666489884257</v>
      </c>
      <c r="CK6">
        <v>-4449.8222597539425</v>
      </c>
      <c r="CL6">
        <v>-4397.0675687715411</v>
      </c>
      <c r="CM6">
        <v>-3928.8007211461663</v>
      </c>
      <c r="CN6">
        <v>-3295.1552306264639</v>
      </c>
      <c r="CO6">
        <v>-110.71107910573483</v>
      </c>
      <c r="CP6">
        <v>1569.9054990112782</v>
      </c>
      <c r="CQ6">
        <v>1980.2747191786766</v>
      </c>
      <c r="CR6">
        <v>4573.6058483868837</v>
      </c>
      <c r="CS6">
        <v>5562.8184186667204</v>
      </c>
      <c r="CT6">
        <v>4875.8255401849747</v>
      </c>
      <c r="CU6">
        <v>2388.0511743724346</v>
      </c>
      <c r="CV6">
        <v>-8487.8469115495682</v>
      </c>
    </row>
    <row r="7" spans="1:100" x14ac:dyDescent="0.15">
      <c r="A7">
        <v>9355.5739396501558</v>
      </c>
      <c r="B7">
        <v>4406.0206918457225</v>
      </c>
      <c r="C7">
        <v>4010.5278758188774</v>
      </c>
      <c r="D7">
        <v>-6934.2050474113566</v>
      </c>
      <c r="E7">
        <v>-7103.769691498891</v>
      </c>
      <c r="F7">
        <v>-7317.5378927054689</v>
      </c>
      <c r="G7">
        <v>-7038.5188104467697</v>
      </c>
      <c r="H7">
        <v>-6511.1774820049104</v>
      </c>
      <c r="I7">
        <v>-5777.189303275487</v>
      </c>
      <c r="J7">
        <v>-906.65542538143472</v>
      </c>
      <c r="K7">
        <v>155.05645153965747</v>
      </c>
      <c r="L7">
        <v>2813.3382300471353</v>
      </c>
      <c r="M7">
        <v>3493.714990745159</v>
      </c>
      <c r="N7">
        <v>3662.431374563871</v>
      </c>
      <c r="O7">
        <v>3881.674785748889</v>
      </c>
      <c r="P7">
        <v>3973.618345083004</v>
      </c>
      <c r="Q7">
        <v>3980.9097511922278</v>
      </c>
      <c r="R7">
        <v>3989.2326314363677</v>
      </c>
      <c r="S7">
        <v>3990.5271668598602</v>
      </c>
      <c r="T7">
        <v>3955.4837187389558</v>
      </c>
      <c r="U7">
        <v>3922.7927871289608</v>
      </c>
      <c r="V7">
        <v>3817.0845690094625</v>
      </c>
      <c r="W7">
        <v>3621.4101843916392</v>
      </c>
      <c r="X7">
        <v>2886.7565332457266</v>
      </c>
      <c r="Y7">
        <v>2653.0959083937951</v>
      </c>
      <c r="Z7">
        <v>1234.5889896184735</v>
      </c>
      <c r="AA7">
        <v>1216.6661841235025</v>
      </c>
      <c r="AB7">
        <v>280.33032128012883</v>
      </c>
      <c r="AC7">
        <v>-458.42693183879464</v>
      </c>
      <c r="AD7">
        <v>-473.58993140941766</v>
      </c>
      <c r="AE7">
        <v>-1293.8751465925816</v>
      </c>
      <c r="AF7">
        <v>-2019.906120788567</v>
      </c>
      <c r="AG7">
        <v>-2744.7953175991597</v>
      </c>
      <c r="AH7">
        <v>-3023.0291113829444</v>
      </c>
      <c r="AI7">
        <v>-3260.9415344808313</v>
      </c>
      <c r="AJ7">
        <v>-3730.9946549090637</v>
      </c>
      <c r="AK7">
        <v>-3791.1055077847468</v>
      </c>
      <c r="AL7">
        <v>-3828.6189034262752</v>
      </c>
      <c r="AM7">
        <v>-4017.5569089778055</v>
      </c>
      <c r="AN7">
        <v>-4289.9413046999252</v>
      </c>
      <c r="AO7">
        <v>-4294.6295253351673</v>
      </c>
      <c r="AP7">
        <v>-4168.5838550406625</v>
      </c>
      <c r="AQ7">
        <v>-2970.5280041719961</v>
      </c>
      <c r="AR7">
        <v>-2602.2359234634496</v>
      </c>
      <c r="AS7">
        <v>-2441.7181775892677</v>
      </c>
      <c r="AT7">
        <v>-2270.8369049264147</v>
      </c>
      <c r="AU7">
        <v>-1818.5431720413471</v>
      </c>
      <c r="AV7">
        <v>-1617.6354836149112</v>
      </c>
      <c r="AW7">
        <v>-1430.861498338636</v>
      </c>
      <c r="AX7">
        <v>-240.16382666365826</v>
      </c>
      <c r="AY7">
        <v>201.13964746505371</v>
      </c>
      <c r="AZ7">
        <v>388.77590693705133</v>
      </c>
      <c r="BA7">
        <v>1091.4568275506026</v>
      </c>
      <c r="BB7">
        <v>2171.331685773097</v>
      </c>
      <c r="BC7">
        <v>2268.008500502794</v>
      </c>
      <c r="BD7">
        <v>3122.851481199672</v>
      </c>
      <c r="BE7">
        <v>3959.8333985446952</v>
      </c>
      <c r="BF7">
        <v>4341.6243539968273</v>
      </c>
      <c r="BG7">
        <v>4468.5841838939814</v>
      </c>
      <c r="BH7">
        <v>4662.4818313079886</v>
      </c>
      <c r="BI7">
        <v>4876.706981127616</v>
      </c>
      <c r="BJ7">
        <v>4748.4298377691302</v>
      </c>
      <c r="BK7">
        <v>4590.3913962121587</v>
      </c>
      <c r="BL7">
        <v>4314.7707218802534</v>
      </c>
      <c r="BM7">
        <v>2097.8280176757835</v>
      </c>
      <c r="BN7">
        <v>1487.8444440467283</v>
      </c>
      <c r="BO7">
        <v>-511.0160455564037</v>
      </c>
      <c r="BP7">
        <v>-682.80159756075591</v>
      </c>
      <c r="BQ7">
        <v>-775.62939943559468</v>
      </c>
      <c r="BR7">
        <v>-983.24086071364582</v>
      </c>
      <c r="BS7">
        <v>-1506.5638629002497</v>
      </c>
      <c r="BT7">
        <v>-2097.2280267123133</v>
      </c>
      <c r="BU7">
        <v>-2352.7269101208076</v>
      </c>
      <c r="BV7">
        <v>-2372.3372964020818</v>
      </c>
      <c r="BW7">
        <v>-2676.2898655068129</v>
      </c>
      <c r="BX7">
        <v>-2689.3648608895019</v>
      </c>
      <c r="BY7">
        <v>-3001.4054628554732</v>
      </c>
      <c r="BZ7">
        <v>-3307.6930907182395</v>
      </c>
      <c r="CA7">
        <v>-3282.9722160845995</v>
      </c>
      <c r="CB7">
        <v>-3274.6274572033435</v>
      </c>
      <c r="CC7">
        <v>-1909.2805160470307</v>
      </c>
      <c r="CD7">
        <v>-1884.4468686394393</v>
      </c>
      <c r="CE7">
        <v>-1831.2525100968778</v>
      </c>
      <c r="CF7">
        <v>-1148.7871857918799</v>
      </c>
      <c r="CG7">
        <v>-668.02941027656198</v>
      </c>
      <c r="CH7">
        <v>1025.8869982622564</v>
      </c>
      <c r="CI7">
        <v>4595.0661125779152</v>
      </c>
      <c r="CJ7">
        <v>5866.404532276094</v>
      </c>
      <c r="CK7">
        <v>5397.4817369282246</v>
      </c>
      <c r="CL7">
        <v>5325.8358958885074</v>
      </c>
      <c r="CM7">
        <v>4707.0497433394194</v>
      </c>
      <c r="CN7">
        <v>3892.781412512064</v>
      </c>
      <c r="CO7">
        <v>-75.919359460473061</v>
      </c>
      <c r="CP7">
        <v>-2129.9138743579388</v>
      </c>
      <c r="CQ7">
        <v>-2628.1424980461597</v>
      </c>
      <c r="CR7">
        <v>-5737.3607254624367</v>
      </c>
      <c r="CS7">
        <v>-6844.873631477356</v>
      </c>
      <c r="CT7">
        <v>-5928.0537692010403</v>
      </c>
      <c r="CU7">
        <v>-2805.257774412632</v>
      </c>
      <c r="CV7">
        <v>10579.385381251574</v>
      </c>
    </row>
    <row r="8" spans="1:100" x14ac:dyDescent="0.15">
      <c r="A8">
        <v>-5229.8122303370001</v>
      </c>
      <c r="B8">
        <v>-2402.3956358269916</v>
      </c>
      <c r="C8">
        <v>-2176.973209642485</v>
      </c>
      <c r="D8">
        <v>3974.4260069568927</v>
      </c>
      <c r="E8">
        <v>4062.4226733636601</v>
      </c>
      <c r="F8">
        <v>4138.9254518646112</v>
      </c>
      <c r="G8">
        <v>3955.0676875381218</v>
      </c>
      <c r="H8">
        <v>3629.9001365114282</v>
      </c>
      <c r="I8">
        <v>3188.5215175648223</v>
      </c>
      <c r="J8">
        <v>347.60297174316412</v>
      </c>
      <c r="K8">
        <v>-258.82243443892827</v>
      </c>
      <c r="L8">
        <v>-1746.2646735164483</v>
      </c>
      <c r="M8">
        <v>-2109.814403950274</v>
      </c>
      <c r="N8">
        <v>-2196.1581096152963</v>
      </c>
      <c r="O8">
        <v>-2301.3968108430408</v>
      </c>
      <c r="P8">
        <v>-2336.1354184713041</v>
      </c>
      <c r="Q8">
        <v>-2337.3709693081623</v>
      </c>
      <c r="R8">
        <v>-2336.4739252033714</v>
      </c>
      <c r="S8">
        <v>-2334.8996107677481</v>
      </c>
      <c r="T8">
        <v>-2295.2355655162969</v>
      </c>
      <c r="U8">
        <v>-2269.2573650859999</v>
      </c>
      <c r="V8">
        <v>-2192.9136757347578</v>
      </c>
      <c r="W8">
        <v>-2061.106016836904</v>
      </c>
      <c r="X8">
        <v>-1593.8312735325562</v>
      </c>
      <c r="Y8">
        <v>-1448.9546357200995</v>
      </c>
      <c r="Z8">
        <v>-586.4800504518148</v>
      </c>
      <c r="AA8">
        <v>-575.7174851431256</v>
      </c>
      <c r="AB8">
        <v>-17.013739085595716</v>
      </c>
      <c r="AC8">
        <v>419.22794400250177</v>
      </c>
      <c r="AD8">
        <v>428.14079036017711</v>
      </c>
      <c r="AE8">
        <v>907.75278501871571</v>
      </c>
      <c r="AF8">
        <v>1327.6281614631566</v>
      </c>
      <c r="AG8">
        <v>1741.2301910203214</v>
      </c>
      <c r="AH8">
        <v>1897.9362657191477</v>
      </c>
      <c r="AI8">
        <v>2030.6798942119713</v>
      </c>
      <c r="AJ8">
        <v>2287.7801213750163</v>
      </c>
      <c r="AK8">
        <v>2319.8992372006342</v>
      </c>
      <c r="AL8">
        <v>2339.8139286318419</v>
      </c>
      <c r="AM8">
        <v>2438.0255538176061</v>
      </c>
      <c r="AN8">
        <v>2557.8411107291413</v>
      </c>
      <c r="AO8">
        <v>2547.8088173073156</v>
      </c>
      <c r="AP8">
        <v>2442.9467254268602</v>
      </c>
      <c r="AQ8">
        <v>1659.4199564362862</v>
      </c>
      <c r="AR8">
        <v>1428.8107168467177</v>
      </c>
      <c r="AS8">
        <v>1328.949896251579</v>
      </c>
      <c r="AT8">
        <v>1223.0099469217603</v>
      </c>
      <c r="AU8">
        <v>944.19593983648519</v>
      </c>
      <c r="AV8">
        <v>821.0009980743198</v>
      </c>
      <c r="AW8">
        <v>706.79679842795304</v>
      </c>
      <c r="AX8">
        <v>-14.834114479759592</v>
      </c>
      <c r="AY8">
        <v>-279.72633696559933</v>
      </c>
      <c r="AZ8">
        <v>-391.95365363595192</v>
      </c>
      <c r="BA8">
        <v>-810.08543261498562</v>
      </c>
      <c r="BB8">
        <v>-1445.515146931255</v>
      </c>
      <c r="BC8">
        <v>-1501.922183562885</v>
      </c>
      <c r="BD8">
        <v>-1996.331911233312</v>
      </c>
      <c r="BE8">
        <v>-2469.4240122478222</v>
      </c>
      <c r="BF8">
        <v>-2678.3491017049528</v>
      </c>
      <c r="BG8">
        <v>-2745.9615453566657</v>
      </c>
      <c r="BH8">
        <v>-2845.8633135295822</v>
      </c>
      <c r="BI8">
        <v>-2942.7330670155934</v>
      </c>
      <c r="BJ8">
        <v>-2799.9063132308656</v>
      </c>
      <c r="BK8">
        <v>-2687.8017384080449</v>
      </c>
      <c r="BL8">
        <v>-2500.9432939006947</v>
      </c>
      <c r="BM8">
        <v>-1091.4603599428665</v>
      </c>
      <c r="BN8">
        <v>-715.66863472387195</v>
      </c>
      <c r="BO8">
        <v>491.74840905657038</v>
      </c>
      <c r="BP8">
        <v>593.68382870592177</v>
      </c>
      <c r="BQ8">
        <v>648.62497448781505</v>
      </c>
      <c r="BR8">
        <v>771.12088620755821</v>
      </c>
      <c r="BS8">
        <v>1077.2474483447149</v>
      </c>
      <c r="BT8">
        <v>1416.8171478612348</v>
      </c>
      <c r="BU8">
        <v>1560.8725152444094</v>
      </c>
      <c r="BV8">
        <v>1571.8337474088185</v>
      </c>
      <c r="BW8">
        <v>1739.4027965301648</v>
      </c>
      <c r="BX8">
        <v>1746.4912415202707</v>
      </c>
      <c r="BY8">
        <v>1910.8074395488948</v>
      </c>
      <c r="BZ8">
        <v>2037.5385068599135</v>
      </c>
      <c r="CA8">
        <v>1990.1566842850298</v>
      </c>
      <c r="CB8">
        <v>1982.0380288716406</v>
      </c>
      <c r="CC8">
        <v>1015.0885839536786</v>
      </c>
      <c r="CD8">
        <v>998.56126821786165</v>
      </c>
      <c r="CE8">
        <v>963.20574371516705</v>
      </c>
      <c r="CF8">
        <v>514.23042043298483</v>
      </c>
      <c r="CG8">
        <v>201.93317776545882</v>
      </c>
      <c r="CH8">
        <v>-880.65801578760147</v>
      </c>
      <c r="CI8">
        <v>-3085.8448362760246</v>
      </c>
      <c r="CJ8">
        <v>-3763.1740908622742</v>
      </c>
      <c r="CK8">
        <v>-3415.1359057873487</v>
      </c>
      <c r="CL8">
        <v>-3365.0524878427386</v>
      </c>
      <c r="CM8">
        <v>-2941.7378685474396</v>
      </c>
      <c r="CN8">
        <v>-2397.4386187642813</v>
      </c>
      <c r="CO8">
        <v>185.31582272797823</v>
      </c>
      <c r="CP8">
        <v>1498.1747371703386</v>
      </c>
      <c r="CQ8">
        <v>1814.6190001517534</v>
      </c>
      <c r="CR8">
        <v>3764.9049740433693</v>
      </c>
      <c r="CS8">
        <v>4408.7791471928358</v>
      </c>
      <c r="CT8">
        <v>3772.2693413645029</v>
      </c>
      <c r="CU8">
        <v>1719.3615383803844</v>
      </c>
      <c r="CV8">
        <v>-6916.0404056310654</v>
      </c>
    </row>
    <row r="9" spans="1:100" x14ac:dyDescent="0.15">
      <c r="A9">
        <v>1212.9180472380463</v>
      </c>
      <c r="B9">
        <v>545.70768522262028</v>
      </c>
      <c r="C9">
        <v>492.61109599128508</v>
      </c>
      <c r="D9">
        <v>-939.40068126062613</v>
      </c>
      <c r="E9">
        <v>-958.45485856708842</v>
      </c>
      <c r="F9">
        <v>-967.74411658459951</v>
      </c>
      <c r="G9">
        <v>-919.68869748449595</v>
      </c>
      <c r="H9">
        <v>-838.42069567097406</v>
      </c>
      <c r="I9">
        <v>-730.11356330769308</v>
      </c>
      <c r="J9">
        <v>-49.315323862950684</v>
      </c>
      <c r="K9">
        <v>93.514406653842258</v>
      </c>
      <c r="L9">
        <v>437.68000022420085</v>
      </c>
      <c r="M9">
        <v>518.30883227533309</v>
      </c>
      <c r="N9">
        <v>536.64892159661053</v>
      </c>
      <c r="O9">
        <v>557.45875398319379</v>
      </c>
      <c r="P9">
        <v>562.10884775797808</v>
      </c>
      <c r="Q9">
        <v>561.81844227194597</v>
      </c>
      <c r="R9">
        <v>560.48594010827969</v>
      </c>
      <c r="S9">
        <v>559.65623662110363</v>
      </c>
      <c r="T9">
        <v>546.42147334851109</v>
      </c>
      <c r="U9">
        <v>538.85748178979304</v>
      </c>
      <c r="V9">
        <v>517.72213402994066</v>
      </c>
      <c r="W9">
        <v>482.72738844757725</v>
      </c>
      <c r="X9">
        <v>363.33221318653875</v>
      </c>
      <c r="Y9">
        <v>326.9874988016557</v>
      </c>
      <c r="Z9">
        <v>113.79638884666048</v>
      </c>
      <c r="AA9">
        <v>111.16183141988776</v>
      </c>
      <c r="AB9">
        <v>-24.905456417479513</v>
      </c>
      <c r="AC9">
        <v>-130.24227037028663</v>
      </c>
      <c r="AD9">
        <v>-132.38613401687201</v>
      </c>
      <c r="AE9">
        <v>-247.23028021443065</v>
      </c>
      <c r="AF9">
        <v>-346.81874501757613</v>
      </c>
      <c r="AG9">
        <v>-443.74585010000737</v>
      </c>
      <c r="AH9">
        <v>-480.03481440680184</v>
      </c>
      <c r="AI9">
        <v>-510.50463289123263</v>
      </c>
      <c r="AJ9">
        <v>-568.3938854783255</v>
      </c>
      <c r="AK9">
        <v>-575.45720180211833</v>
      </c>
      <c r="AL9">
        <v>-579.80709294383655</v>
      </c>
      <c r="AM9">
        <v>-600.78063015135513</v>
      </c>
      <c r="AN9">
        <v>-621.27854530659852</v>
      </c>
      <c r="AO9">
        <v>-616.2225312241344</v>
      </c>
      <c r="AP9">
        <v>-584.64080068828935</v>
      </c>
      <c r="AQ9">
        <v>-379.84883155529496</v>
      </c>
      <c r="AR9">
        <v>-321.49493779194017</v>
      </c>
      <c r="AS9">
        <v>-296.35406166608118</v>
      </c>
      <c r="AT9">
        <v>-269.7561321257308</v>
      </c>
      <c r="AU9">
        <v>-200.07483933984986</v>
      </c>
      <c r="AV9">
        <v>-169.4183602349658</v>
      </c>
      <c r="AW9">
        <v>-141.06546429443551</v>
      </c>
      <c r="AX9">
        <v>36.762461151029129</v>
      </c>
      <c r="AY9">
        <v>101.50020088503879</v>
      </c>
      <c r="AZ9">
        <v>128.84196202839667</v>
      </c>
      <c r="BA9">
        <v>230.24706915006391</v>
      </c>
      <c r="BB9">
        <v>382.78842378737318</v>
      </c>
      <c r="BC9">
        <v>396.22266624226177</v>
      </c>
      <c r="BD9">
        <v>512.99108794709173</v>
      </c>
      <c r="BE9">
        <v>622.21125969750574</v>
      </c>
      <c r="BF9">
        <v>668.82868723632419</v>
      </c>
      <c r="BG9">
        <v>683.46213808449102</v>
      </c>
      <c r="BH9">
        <v>704.24456334896968</v>
      </c>
      <c r="BI9">
        <v>720.90593269038072</v>
      </c>
      <c r="BJ9">
        <v>671.36376355818356</v>
      </c>
      <c r="BK9">
        <v>640.11733479378745</v>
      </c>
      <c r="BL9">
        <v>589.66265899475547</v>
      </c>
      <c r="BM9">
        <v>227.58486637950409</v>
      </c>
      <c r="BN9">
        <v>133.61745958408574</v>
      </c>
      <c r="BO9">
        <v>-162.87837084126659</v>
      </c>
      <c r="BP9">
        <v>-187.48293556261342</v>
      </c>
      <c r="BQ9">
        <v>-200.71039761789143</v>
      </c>
      <c r="BR9">
        <v>-230.11055089859292</v>
      </c>
      <c r="BS9">
        <v>-302.94389785465319</v>
      </c>
      <c r="BT9">
        <v>-382.27694068173878</v>
      </c>
      <c r="BU9">
        <v>-415.22443710186053</v>
      </c>
      <c r="BV9">
        <v>-417.70701666211244</v>
      </c>
      <c r="BW9">
        <v>-455.05891032889485</v>
      </c>
      <c r="BX9">
        <v>-456.60757469758391</v>
      </c>
      <c r="BY9">
        <v>-491.21265393146314</v>
      </c>
      <c r="BZ9">
        <v>-508.39949232828803</v>
      </c>
      <c r="CA9">
        <v>-488.96326315333135</v>
      </c>
      <c r="CB9">
        <v>-486.22817421494983</v>
      </c>
      <c r="CC9">
        <v>-214.2690622927621</v>
      </c>
      <c r="CD9">
        <v>-209.83748901775107</v>
      </c>
      <c r="CE9">
        <v>-200.36751111457124</v>
      </c>
      <c r="CF9">
        <v>-81.119339597877115</v>
      </c>
      <c r="CG9">
        <v>0.94737308006733656</v>
      </c>
      <c r="CH9">
        <v>281.43796031130478</v>
      </c>
      <c r="CI9">
        <v>835.12864445988089</v>
      </c>
      <c r="CJ9">
        <v>978.33838060684502</v>
      </c>
      <c r="CK9">
        <v>876.27162119187415</v>
      </c>
      <c r="CL9">
        <v>862.22573184594512</v>
      </c>
      <c r="CM9">
        <v>745.54111592844129</v>
      </c>
      <c r="CN9">
        <v>598.37202672287822</v>
      </c>
      <c r="CO9">
        <v>-83.815874559804797</v>
      </c>
      <c r="CP9">
        <v>-424.90186866745353</v>
      </c>
      <c r="CQ9">
        <v>-506.62018609978259</v>
      </c>
      <c r="CR9">
        <v>-1004.060076739639</v>
      </c>
      <c r="CS9">
        <v>-1154.9094742797315</v>
      </c>
      <c r="CT9">
        <v>-976.11821303889155</v>
      </c>
      <c r="CU9">
        <v>-426.89475452154875</v>
      </c>
      <c r="CV9">
        <v>1842.7788893803954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9"/>
  <sheetViews>
    <sheetView workbookViewId="0">
      <selection activeCell="C6" sqref="C6"/>
    </sheetView>
  </sheetViews>
  <sheetFormatPr defaultRowHeight="13.5" x14ac:dyDescent="0.15"/>
  <sheetData>
    <row r="1" spans="1:1" x14ac:dyDescent="0.15">
      <c r="A1">
        <f t="array" ref="A1:A9">MMULT(MPmatrix!A1:CV9,data!B2:B101)</f>
        <v>0.55736363668550248</v>
      </c>
    </row>
    <row r="2" spans="1:1" x14ac:dyDescent="0.15">
      <c r="A2">
        <v>-15.857649343828648</v>
      </c>
    </row>
    <row r="3" spans="1:1" x14ac:dyDescent="0.15">
      <c r="A3">
        <v>336.28270848510459</v>
      </c>
    </row>
    <row r="4" spans="1:1" x14ac:dyDescent="0.15">
      <c r="A4">
        <v>-2352.8591786722482</v>
      </c>
    </row>
    <row r="5" spans="1:1" x14ac:dyDescent="0.15">
      <c r="A5">
        <v>8136.4173030014645</v>
      </c>
    </row>
    <row r="6" spans="1:1" x14ac:dyDescent="0.15">
      <c r="A6">
        <v>-15643.764370556515</v>
      </c>
    </row>
    <row r="7" spans="1:1" x14ac:dyDescent="0.15">
      <c r="A7">
        <v>16857.39599131079</v>
      </c>
    </row>
    <row r="8" spans="1:1" x14ac:dyDescent="0.15">
      <c r="A8">
        <v>-9473.9949553282731</v>
      </c>
    </row>
    <row r="9" spans="1:1" x14ac:dyDescent="0.15">
      <c r="A9">
        <v>2155.8365771073204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1"/>
  <sheetViews>
    <sheetView workbookViewId="0">
      <selection activeCell="A12" sqref="A12"/>
    </sheetView>
  </sheetViews>
  <sheetFormatPr defaultRowHeight="13.5" x14ac:dyDescent="0.15"/>
  <sheetData>
    <row r="1" spans="1:9" x14ac:dyDescent="0.15">
      <c r="A1">
        <f>EXP($A$11)*A13</f>
        <v>6.737946999085467E-3</v>
      </c>
      <c r="B1">
        <f t="shared" ref="B1:I1" si="0">EXP($A$11)*B13</f>
        <v>0</v>
      </c>
      <c r="C1">
        <f t="shared" si="0"/>
        <v>0</v>
      </c>
      <c r="D1">
        <f t="shared" si="0"/>
        <v>0</v>
      </c>
      <c r="E1">
        <f t="shared" si="0"/>
        <v>0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</row>
    <row r="2" spans="1:9" x14ac:dyDescent="0.15">
      <c r="A2">
        <f t="shared" ref="A2:I2" si="1">EXP($A$11)*A14</f>
        <v>0</v>
      </c>
      <c r="B2">
        <f t="shared" si="1"/>
        <v>6.737946999085467E-3</v>
      </c>
      <c r="C2">
        <f t="shared" si="1"/>
        <v>0</v>
      </c>
      <c r="D2">
        <f t="shared" si="1"/>
        <v>0</v>
      </c>
      <c r="E2">
        <f t="shared" si="1"/>
        <v>0</v>
      </c>
      <c r="F2">
        <f t="shared" si="1"/>
        <v>0</v>
      </c>
      <c r="G2">
        <f t="shared" si="1"/>
        <v>0</v>
      </c>
      <c r="H2">
        <f t="shared" si="1"/>
        <v>0</v>
      </c>
      <c r="I2">
        <f t="shared" si="1"/>
        <v>0</v>
      </c>
    </row>
    <row r="3" spans="1:9" x14ac:dyDescent="0.15">
      <c r="A3">
        <f t="shared" ref="A3:I3" si="2">EXP($A$11)*A15</f>
        <v>0</v>
      </c>
      <c r="B3">
        <f t="shared" si="2"/>
        <v>0</v>
      </c>
      <c r="C3">
        <f t="shared" si="2"/>
        <v>6.737946999085467E-3</v>
      </c>
      <c r="D3">
        <f t="shared" si="2"/>
        <v>0</v>
      </c>
      <c r="E3">
        <f t="shared" si="2"/>
        <v>0</v>
      </c>
      <c r="F3">
        <f t="shared" si="2"/>
        <v>0</v>
      </c>
      <c r="G3">
        <f t="shared" si="2"/>
        <v>0</v>
      </c>
      <c r="H3">
        <f t="shared" si="2"/>
        <v>0</v>
      </c>
      <c r="I3">
        <f t="shared" si="2"/>
        <v>0</v>
      </c>
    </row>
    <row r="4" spans="1:9" x14ac:dyDescent="0.15">
      <c r="A4">
        <f t="shared" ref="A4:I4" si="3">EXP($A$11)*A16</f>
        <v>0</v>
      </c>
      <c r="B4">
        <f t="shared" si="3"/>
        <v>0</v>
      </c>
      <c r="C4">
        <f t="shared" si="3"/>
        <v>0</v>
      </c>
      <c r="D4">
        <f t="shared" si="3"/>
        <v>6.737946999085467E-3</v>
      </c>
      <c r="E4">
        <f t="shared" si="3"/>
        <v>0</v>
      </c>
      <c r="F4">
        <f t="shared" si="3"/>
        <v>0</v>
      </c>
      <c r="G4">
        <f t="shared" si="3"/>
        <v>0</v>
      </c>
      <c r="H4">
        <f t="shared" si="3"/>
        <v>0</v>
      </c>
      <c r="I4">
        <f t="shared" si="3"/>
        <v>0</v>
      </c>
    </row>
    <row r="5" spans="1:9" x14ac:dyDescent="0.15">
      <c r="A5">
        <f t="shared" ref="A5:I5" si="4">EXP($A$11)*A17</f>
        <v>0</v>
      </c>
      <c r="B5">
        <f t="shared" si="4"/>
        <v>0</v>
      </c>
      <c r="C5">
        <f t="shared" si="4"/>
        <v>0</v>
      </c>
      <c r="D5">
        <f t="shared" si="4"/>
        <v>0</v>
      </c>
      <c r="E5">
        <f t="shared" si="4"/>
        <v>6.737946999085467E-3</v>
      </c>
      <c r="F5">
        <f t="shared" si="4"/>
        <v>0</v>
      </c>
      <c r="G5">
        <f t="shared" si="4"/>
        <v>0</v>
      </c>
      <c r="H5">
        <f t="shared" si="4"/>
        <v>0</v>
      </c>
      <c r="I5">
        <f t="shared" si="4"/>
        <v>0</v>
      </c>
    </row>
    <row r="6" spans="1:9" x14ac:dyDescent="0.15">
      <c r="A6">
        <f t="shared" ref="A6:I6" si="5">EXP($A$11)*A18</f>
        <v>0</v>
      </c>
      <c r="B6">
        <f t="shared" si="5"/>
        <v>0</v>
      </c>
      <c r="C6">
        <f t="shared" si="5"/>
        <v>0</v>
      </c>
      <c r="D6">
        <f t="shared" si="5"/>
        <v>0</v>
      </c>
      <c r="E6">
        <f t="shared" si="5"/>
        <v>0</v>
      </c>
      <c r="F6">
        <f t="shared" si="5"/>
        <v>6.737946999085467E-3</v>
      </c>
      <c r="G6">
        <f t="shared" si="5"/>
        <v>0</v>
      </c>
      <c r="H6">
        <f t="shared" si="5"/>
        <v>0</v>
      </c>
      <c r="I6">
        <f t="shared" si="5"/>
        <v>0</v>
      </c>
    </row>
    <row r="7" spans="1:9" x14ac:dyDescent="0.15">
      <c r="A7">
        <f t="shared" ref="A7:I7" si="6">EXP($A$11)*A19</f>
        <v>0</v>
      </c>
      <c r="B7">
        <f t="shared" si="6"/>
        <v>0</v>
      </c>
      <c r="C7">
        <f t="shared" si="6"/>
        <v>0</v>
      </c>
      <c r="D7">
        <f t="shared" si="6"/>
        <v>0</v>
      </c>
      <c r="E7">
        <f t="shared" si="6"/>
        <v>0</v>
      </c>
      <c r="F7">
        <f t="shared" si="6"/>
        <v>0</v>
      </c>
      <c r="G7">
        <f t="shared" si="6"/>
        <v>6.737946999085467E-3</v>
      </c>
      <c r="H7">
        <f t="shared" si="6"/>
        <v>0</v>
      </c>
      <c r="I7">
        <f t="shared" si="6"/>
        <v>0</v>
      </c>
    </row>
    <row r="8" spans="1:9" x14ac:dyDescent="0.15">
      <c r="A8">
        <f t="shared" ref="A8:I8" si="7">EXP($A$11)*A20</f>
        <v>0</v>
      </c>
      <c r="B8">
        <f t="shared" si="7"/>
        <v>0</v>
      </c>
      <c r="C8">
        <f t="shared" si="7"/>
        <v>0</v>
      </c>
      <c r="D8">
        <f t="shared" si="7"/>
        <v>0</v>
      </c>
      <c r="E8">
        <f t="shared" si="7"/>
        <v>0</v>
      </c>
      <c r="F8">
        <f t="shared" si="7"/>
        <v>0</v>
      </c>
      <c r="G8">
        <f t="shared" si="7"/>
        <v>0</v>
      </c>
      <c r="H8">
        <f t="shared" si="7"/>
        <v>6.737946999085467E-3</v>
      </c>
      <c r="I8">
        <f t="shared" si="7"/>
        <v>0</v>
      </c>
    </row>
    <row r="9" spans="1:9" x14ac:dyDescent="0.15">
      <c r="A9">
        <f t="shared" ref="A9:I9" si="8">EXP($A$11)*A21</f>
        <v>0</v>
      </c>
      <c r="B9">
        <f t="shared" si="8"/>
        <v>0</v>
      </c>
      <c r="C9">
        <f t="shared" si="8"/>
        <v>0</v>
      </c>
      <c r="D9">
        <f t="shared" si="8"/>
        <v>0</v>
      </c>
      <c r="E9">
        <f t="shared" si="8"/>
        <v>0</v>
      </c>
      <c r="F9">
        <f t="shared" si="8"/>
        <v>0</v>
      </c>
      <c r="G9">
        <f t="shared" si="8"/>
        <v>0</v>
      </c>
      <c r="H9">
        <f t="shared" si="8"/>
        <v>0</v>
      </c>
      <c r="I9">
        <f t="shared" si="8"/>
        <v>6.737946999085467E-3</v>
      </c>
    </row>
    <row r="11" spans="1:9" x14ac:dyDescent="0.15">
      <c r="A11">
        <v>-5</v>
      </c>
    </row>
    <row r="13" spans="1:9" x14ac:dyDescent="0.15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15">
      <c r="A14">
        <v>0</v>
      </c>
      <c r="B14">
        <v>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15">
      <c r="A15">
        <v>0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15">
      <c r="A16">
        <v>0</v>
      </c>
      <c r="B16">
        <v>0</v>
      </c>
      <c r="C16">
        <v>0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</row>
    <row r="18" spans="1:9" x14ac:dyDescent="0.15">
      <c r="A18">
        <v>0</v>
      </c>
      <c r="B18">
        <v>0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</row>
    <row r="19" spans="1:9" x14ac:dyDescent="0.1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</row>
    <row r="20" spans="1:9" x14ac:dyDescent="0.1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1</v>
      </c>
      <c r="I20">
        <v>0</v>
      </c>
    </row>
    <row r="21" spans="1:9" x14ac:dyDescent="0.1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"/>
  <sheetViews>
    <sheetView workbookViewId="0"/>
  </sheetViews>
  <sheetFormatPr defaultRowHeight="13.5" x14ac:dyDescent="0.15"/>
  <sheetData>
    <row r="1" spans="1:9" x14ac:dyDescent="0.15">
      <c r="A1">
        <f>multi!A1+regular!A1</f>
        <v>100.00673794699908</v>
      </c>
      <c r="B1">
        <f>multi!B1+regular!B1</f>
        <v>45.01573371887207</v>
      </c>
      <c r="C1">
        <f>multi!C1+regular!C1</f>
        <v>27.634505507572342</v>
      </c>
      <c r="D1">
        <f>multi!D1+regular!D1</f>
        <v>19.710028588251049</v>
      </c>
      <c r="E1">
        <f>multi!E1+regular!E1</f>
        <v>15.297239814530426</v>
      </c>
      <c r="F1">
        <f>multi!F1+regular!F1</f>
        <v>12.516267768958196</v>
      </c>
      <c r="G1">
        <f>multi!G1+regular!G1</f>
        <v>10.614458002063131</v>
      </c>
      <c r="H1">
        <f>multi!H1+regular!H1</f>
        <v>9.2367307924893858</v>
      </c>
      <c r="I1">
        <f>multi!I1+regular!I1</f>
        <v>8.1946025500245128</v>
      </c>
    </row>
    <row r="2" spans="1:9" x14ac:dyDescent="0.15">
      <c r="A2">
        <f>multi!A2+regular!A2</f>
        <v>45.01573371887207</v>
      </c>
      <c r="B2">
        <f>multi!B2+regular!B2</f>
        <v>27.641243454571427</v>
      </c>
      <c r="C2">
        <f>multi!C2+regular!C2</f>
        <v>19.710028588251049</v>
      </c>
      <c r="D2">
        <f>multi!D2+regular!D2</f>
        <v>15.297239814530426</v>
      </c>
      <c r="E2">
        <f>multi!E2+regular!E2</f>
        <v>12.516267768958196</v>
      </c>
      <c r="F2">
        <f>multi!F2+regular!F2</f>
        <v>10.614458002063131</v>
      </c>
      <c r="G2">
        <f>multi!G2+regular!G2</f>
        <v>9.2367307924893858</v>
      </c>
      <c r="H2">
        <f>multi!H2+regular!H2</f>
        <v>8.1946025500245128</v>
      </c>
      <c r="I2">
        <f>multi!I2+regular!I2</f>
        <v>7.3790951126102469</v>
      </c>
    </row>
    <row r="3" spans="1:9" x14ac:dyDescent="0.15">
      <c r="A3">
        <f>multi!A3+regular!A3</f>
        <v>27.634505507572342</v>
      </c>
      <c r="B3">
        <f>multi!B3+regular!B3</f>
        <v>19.710028588251049</v>
      </c>
      <c r="C3">
        <f>multi!C3+regular!C3</f>
        <v>15.303977761529511</v>
      </c>
      <c r="D3">
        <f>multi!D3+regular!D3</f>
        <v>12.516267768958196</v>
      </c>
      <c r="E3">
        <f>multi!E3+regular!E3</f>
        <v>10.614458002063131</v>
      </c>
      <c r="F3">
        <f>multi!F3+regular!F3</f>
        <v>9.2367307924893858</v>
      </c>
      <c r="G3">
        <f>multi!G3+regular!G3</f>
        <v>8.1946025500245128</v>
      </c>
      <c r="H3">
        <f>multi!H3+regular!H3</f>
        <v>7.3790951126102478</v>
      </c>
      <c r="I3">
        <f>multi!I3+regular!I3</f>
        <v>6.7230948309372911</v>
      </c>
    </row>
    <row r="4" spans="1:9" x14ac:dyDescent="0.15">
      <c r="A4">
        <f>multi!A4+regular!A4</f>
        <v>19.710028588251049</v>
      </c>
      <c r="B4">
        <f>multi!B4+regular!B4</f>
        <v>15.297239814530426</v>
      </c>
      <c r="C4">
        <f>multi!C4+regular!C4</f>
        <v>12.516267768958196</v>
      </c>
      <c r="D4">
        <f>multi!D4+regular!D4</f>
        <v>10.621195949062216</v>
      </c>
      <c r="E4">
        <f>multi!E4+regular!E4</f>
        <v>9.2367307924893858</v>
      </c>
      <c r="F4">
        <f>multi!F4+regular!F4</f>
        <v>8.1946025500245128</v>
      </c>
      <c r="G4">
        <f>multi!G4+regular!G4</f>
        <v>7.3790951126102469</v>
      </c>
      <c r="H4">
        <f>multi!H4+regular!H4</f>
        <v>6.7230948309372911</v>
      </c>
      <c r="I4">
        <f>multi!I4+regular!I4</f>
        <v>6.1832366997502204</v>
      </c>
    </row>
    <row r="5" spans="1:9" x14ac:dyDescent="0.15">
      <c r="A5">
        <f>multi!A5+regular!A5</f>
        <v>15.297239814530426</v>
      </c>
      <c r="B5">
        <f>multi!B5+regular!B5</f>
        <v>12.516267768958196</v>
      </c>
      <c r="C5">
        <f>multi!C5+regular!C5</f>
        <v>10.614458002063131</v>
      </c>
      <c r="D5">
        <f>multi!D5+regular!D5</f>
        <v>9.2367307924893858</v>
      </c>
      <c r="E5">
        <f>multi!E5+regular!E5</f>
        <v>8.2013404970235975</v>
      </c>
      <c r="F5">
        <f>multi!F5+regular!F5</f>
        <v>7.3790951126102469</v>
      </c>
      <c r="G5">
        <f>multi!G5+regular!G5</f>
        <v>6.7230948309372902</v>
      </c>
      <c r="H5">
        <f>multi!H5+regular!H5</f>
        <v>6.1832366997502204</v>
      </c>
      <c r="I5">
        <f>multi!I5+regular!I5</f>
        <v>5.7304159903183178</v>
      </c>
    </row>
    <row r="6" spans="1:9" x14ac:dyDescent="0.15">
      <c r="A6">
        <f>multi!A6+regular!A6</f>
        <v>12.516267768958196</v>
      </c>
      <c r="B6">
        <f>multi!B6+regular!B6</f>
        <v>10.614458002063131</v>
      </c>
      <c r="C6">
        <f>multi!C6+regular!C6</f>
        <v>9.2367307924893858</v>
      </c>
      <c r="D6">
        <f>multi!D6+regular!D6</f>
        <v>8.1946025500245128</v>
      </c>
      <c r="E6">
        <f>multi!E6+regular!E6</f>
        <v>7.3790951126102469</v>
      </c>
      <c r="F6">
        <f>multi!F6+regular!F6</f>
        <v>6.7298327779363767</v>
      </c>
      <c r="G6">
        <f>multi!G6+regular!G6</f>
        <v>6.1832366997502204</v>
      </c>
      <c r="H6">
        <f>multi!H6+regular!H6</f>
        <v>5.7304159903183178</v>
      </c>
      <c r="I6">
        <f>multi!I6+regular!I6</f>
        <v>5.3444772269707634</v>
      </c>
    </row>
    <row r="7" spans="1:9" x14ac:dyDescent="0.15">
      <c r="A7">
        <f>multi!A7+regular!A7</f>
        <v>10.614458002063131</v>
      </c>
      <c r="B7">
        <f>multi!B7+regular!B7</f>
        <v>9.2367307924893858</v>
      </c>
      <c r="C7">
        <f>multi!C7+regular!C7</f>
        <v>8.1946025500245128</v>
      </c>
      <c r="D7">
        <f>multi!D7+regular!D7</f>
        <v>7.3790951126102469</v>
      </c>
      <c r="E7">
        <f>multi!E7+regular!E7</f>
        <v>6.7230948309372902</v>
      </c>
      <c r="F7">
        <f>multi!F7+regular!F7</f>
        <v>6.1832366997502204</v>
      </c>
      <c r="G7">
        <f>multi!G7+regular!G7</f>
        <v>5.7371539373174034</v>
      </c>
      <c r="H7">
        <f>multi!H7+regular!H7</f>
        <v>5.3444772269707634</v>
      </c>
      <c r="I7">
        <f>multi!I7+regular!I7</f>
        <v>5.0110819482890987</v>
      </c>
    </row>
    <row r="8" spans="1:9" x14ac:dyDescent="0.15">
      <c r="A8">
        <f>multi!A8+regular!A8</f>
        <v>9.2367307924893858</v>
      </c>
      <c r="B8">
        <f>multi!B8+regular!B8</f>
        <v>8.1946025500245128</v>
      </c>
      <c r="C8">
        <f>multi!C8+regular!C8</f>
        <v>7.3790951126102478</v>
      </c>
      <c r="D8">
        <f>multi!D8+regular!D8</f>
        <v>6.7230948309372911</v>
      </c>
      <c r="E8">
        <f>multi!E8+regular!E8</f>
        <v>6.1832366997502204</v>
      </c>
      <c r="F8">
        <f>multi!F8+regular!F8</f>
        <v>5.7304159903183178</v>
      </c>
      <c r="G8">
        <f>multi!G8+regular!G8</f>
        <v>5.3444772269707634</v>
      </c>
      <c r="H8">
        <f>multi!H8+regular!H8</f>
        <v>5.0178198952881834</v>
      </c>
      <c r="I8">
        <f>multi!I8+regular!I8</f>
        <v>4.7197834981102211</v>
      </c>
    </row>
    <row r="9" spans="1:9" x14ac:dyDescent="0.15">
      <c r="A9">
        <f>multi!A9+regular!A9</f>
        <v>8.1946025500245128</v>
      </c>
      <c r="B9">
        <f>multi!B9+regular!B9</f>
        <v>7.3790951126102469</v>
      </c>
      <c r="C9">
        <f>multi!C9+regular!C9</f>
        <v>6.7230948309372911</v>
      </c>
      <c r="D9">
        <f>multi!D9+regular!D9</f>
        <v>6.1832366997502204</v>
      </c>
      <c r="E9">
        <f>multi!E9+regular!E9</f>
        <v>5.7304159903183178</v>
      </c>
      <c r="F9">
        <f>multi!F9+regular!F9</f>
        <v>5.3444772269707634</v>
      </c>
      <c r="G9">
        <f>multi!G9+regular!G9</f>
        <v>5.0110819482890987</v>
      </c>
      <c r="H9">
        <f>multi!H9+regular!H9</f>
        <v>4.7197834981102211</v>
      </c>
      <c r="I9">
        <f>multi!I9+regular!I9</f>
        <v>4.4695418079632114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9"/>
  <sheetViews>
    <sheetView workbookViewId="0">
      <selection activeCell="I9" sqref="A1:I9"/>
    </sheetView>
  </sheetViews>
  <sheetFormatPr defaultRowHeight="13.5" x14ac:dyDescent="0.15"/>
  <sheetData>
    <row r="1" spans="1:9" x14ac:dyDescent="0.15">
      <c r="A1">
        <f t="array" ref="A1:I9">MINVERSE(plus!A1:I9)</f>
        <v>0.14955811867208735</v>
      </c>
      <c r="B1">
        <v>-1.0013515633839636</v>
      </c>
      <c r="C1">
        <v>1.6304539798856241</v>
      </c>
      <c r="D1">
        <v>-0.13751557706208464</v>
      </c>
      <c r="E1">
        <v>-0.58487065005561034</v>
      </c>
      <c r="F1">
        <v>-0.41218579299751673</v>
      </c>
      <c r="G1">
        <v>-0.1078891296748874</v>
      </c>
      <c r="H1">
        <v>0.15045871574250727</v>
      </c>
      <c r="I1">
        <v>0.32152560661048951</v>
      </c>
    </row>
    <row r="2" spans="1:9" x14ac:dyDescent="0.15">
      <c r="A2">
        <v>-1.0013515633839698</v>
      </c>
      <c r="B2">
        <v>9.4759057903808159</v>
      </c>
      <c r="C2">
        <v>-20.751123057838679</v>
      </c>
      <c r="D2">
        <v>7.5344876419179343</v>
      </c>
      <c r="E2">
        <v>7.619374200562488</v>
      </c>
      <c r="F2">
        <v>2.7855961087216494</v>
      </c>
      <c r="G2">
        <v>-0.90792582736385297</v>
      </c>
      <c r="H2">
        <v>-2.5262759869238716</v>
      </c>
      <c r="I2">
        <v>-2.4320740504792004</v>
      </c>
    </row>
    <row r="3" spans="1:9" x14ac:dyDescent="0.15">
      <c r="A3">
        <v>1.6304539798856499</v>
      </c>
      <c r="B3">
        <v>-20.751123057838821</v>
      </c>
      <c r="C3">
        <v>62.708007358705416</v>
      </c>
      <c r="D3">
        <v>-49.203140400361164</v>
      </c>
      <c r="E3">
        <v>-13.51095076269265</v>
      </c>
      <c r="F3">
        <v>5.0404389689186209</v>
      </c>
      <c r="G3">
        <v>9.9276214836011683</v>
      </c>
      <c r="H3">
        <v>6.4223126647986657</v>
      </c>
      <c r="I3">
        <v>-1.6039275850969597</v>
      </c>
    </row>
    <row r="4" spans="1:9" x14ac:dyDescent="0.15">
      <c r="A4">
        <v>-0.13751557706206957</v>
      </c>
      <c r="B4">
        <v>7.5344876419175488</v>
      </c>
      <c r="C4">
        <v>-49.203140400358919</v>
      </c>
      <c r="D4">
        <v>93.620373371309185</v>
      </c>
      <c r="E4">
        <v>-39.772211414148195</v>
      </c>
      <c r="F4">
        <v>-21.701807488702347</v>
      </c>
      <c r="G4">
        <v>-6.561603161188466</v>
      </c>
      <c r="H4">
        <v>4.483764504731873</v>
      </c>
      <c r="I4">
        <v>11.872380405215441</v>
      </c>
    </row>
    <row r="5" spans="1:9" x14ac:dyDescent="0.15">
      <c r="A5">
        <v>-0.5848706500557147</v>
      </c>
      <c r="B5">
        <v>7.6193742005643781</v>
      </c>
      <c r="C5">
        <v>-13.510950762701405</v>
      </c>
      <c r="D5">
        <v>-39.772211414135846</v>
      </c>
      <c r="E5">
        <v>102.33679142282138</v>
      </c>
      <c r="F5">
        <v>-38.166405469565433</v>
      </c>
      <c r="G5">
        <v>-23.345007604961037</v>
      </c>
      <c r="H5">
        <v>-6.1719388607897283</v>
      </c>
      <c r="I5">
        <v>10.959995108907561</v>
      </c>
    </row>
    <row r="6" spans="1:9" x14ac:dyDescent="0.15">
      <c r="A6">
        <v>-0.41218579299756503</v>
      </c>
      <c r="B6">
        <v>2.7855961087212986</v>
      </c>
      <c r="C6">
        <v>5.0404389689230786</v>
      </c>
      <c r="D6">
        <v>-21.701807488712259</v>
      </c>
      <c r="E6">
        <v>-38.166405469559834</v>
      </c>
      <c r="F6">
        <v>107.89412007794787</v>
      </c>
      <c r="G6">
        <v>-32.932359031463861</v>
      </c>
      <c r="H6">
        <v>-19.6814139350201</v>
      </c>
      <c r="I6">
        <v>-3.7782265357445688</v>
      </c>
    </row>
    <row r="7" spans="1:9" x14ac:dyDescent="0.15">
      <c r="A7">
        <v>-0.10788912967467013</v>
      </c>
      <c r="B7">
        <v>-0.9079258273661468</v>
      </c>
      <c r="C7">
        <v>9.927621483607135</v>
      </c>
      <c r="D7">
        <v>-6.5616031611936538</v>
      </c>
      <c r="E7">
        <v>-23.345007604957889</v>
      </c>
      <c r="F7">
        <v>-32.932359031467819</v>
      </c>
      <c r="G7">
        <v>112.96470467824169</v>
      </c>
      <c r="H7">
        <v>-32.800871498525723</v>
      </c>
      <c r="I7">
        <v>-26.86363690679903</v>
      </c>
    </row>
    <row r="8" spans="1:9" x14ac:dyDescent="0.15">
      <c r="A8">
        <v>0.15045871574246308</v>
      </c>
      <c r="B8">
        <v>-2.5262759869237597</v>
      </c>
      <c r="C8">
        <v>6.4223126648001596</v>
      </c>
      <c r="D8">
        <v>4.483764504727402</v>
      </c>
      <c r="E8">
        <v>-6.1719388607885364</v>
      </c>
      <c r="F8">
        <v>-19.681413935015698</v>
      </c>
      <c r="G8">
        <v>-32.800871498527833</v>
      </c>
      <c r="H8">
        <v>104.15985988019206</v>
      </c>
      <c r="I8">
        <v>-53.73767833243695</v>
      </c>
    </row>
    <row r="9" spans="1:9" x14ac:dyDescent="0.15">
      <c r="A9">
        <v>0.32152560661042617</v>
      </c>
      <c r="B9">
        <v>-2.4320740504779725</v>
      </c>
      <c r="C9">
        <v>-1.6039275851026444</v>
      </c>
      <c r="D9">
        <v>11.872380405224765</v>
      </c>
      <c r="E9">
        <v>10.959995108902897</v>
      </c>
      <c r="F9">
        <v>-3.7782265357452967</v>
      </c>
      <c r="G9">
        <v>-26.863636906799051</v>
      </c>
      <c r="H9">
        <v>-53.737678332436367</v>
      </c>
      <c r="I9">
        <v>66.968555370462624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V9"/>
  <sheetViews>
    <sheetView workbookViewId="0"/>
  </sheetViews>
  <sheetFormatPr defaultRowHeight="13.5" x14ac:dyDescent="0.15"/>
  <sheetData>
    <row r="1" spans="1:100" x14ac:dyDescent="0.15">
      <c r="A1">
        <f t="array" ref="A1:CV9">MMULT('inv2'!A1:I9,trans!A1:CV9)</f>
        <v>0.13239693545883985</v>
      </c>
      <c r="B1">
        <v>0.1268623825259638</v>
      </c>
      <c r="C1">
        <v>0.12636313704770896</v>
      </c>
      <c r="D1">
        <v>0.10050530575234497</v>
      </c>
      <c r="E1">
        <v>9.8929515069567139E-2</v>
      </c>
      <c r="F1">
        <v>9.0939352097361717E-2</v>
      </c>
      <c r="G1">
        <v>8.6550182812146007E-2</v>
      </c>
      <c r="H1">
        <v>8.2020117874059176E-2</v>
      </c>
      <c r="I1">
        <v>7.7450013001769319E-2</v>
      </c>
      <c r="J1">
        <v>5.5986107789429168E-2</v>
      </c>
      <c r="K1">
        <v>5.1492593806599381E-2</v>
      </c>
      <c r="L1">
        <v>3.7914019302313133E-2</v>
      </c>
      <c r="M1">
        <v>3.2576160652616634E-2</v>
      </c>
      <c r="N1">
        <v>3.0777957414693777E-2</v>
      </c>
      <c r="O1">
        <v>2.7534436805361964E-2</v>
      </c>
      <c r="P1">
        <v>2.4922780963376523E-2</v>
      </c>
      <c r="Q1">
        <v>2.4511375262171214E-2</v>
      </c>
      <c r="R1">
        <v>2.3730611607137121E-2</v>
      </c>
      <c r="S1">
        <v>2.3415550308934708E-2</v>
      </c>
      <c r="T1">
        <v>2.0833242147074278E-2</v>
      </c>
      <c r="U1">
        <v>1.9909375638048284E-2</v>
      </c>
      <c r="V1">
        <v>1.7944652429365007E-2</v>
      </c>
      <c r="W1">
        <v>1.5560471254344416E-2</v>
      </c>
      <c r="X1">
        <v>1.0091276806639658E-2</v>
      </c>
      <c r="Y1">
        <v>8.7911232734982029E-3</v>
      </c>
      <c r="Z1">
        <v>2.5889409394112563E-3</v>
      </c>
      <c r="AA1">
        <v>2.5220511069021403E-3</v>
      </c>
      <c r="AB1">
        <v>-7.4293210618139795E-4</v>
      </c>
      <c r="AC1">
        <v>-3.0876206850162166E-3</v>
      </c>
      <c r="AD1">
        <v>-3.1342364082505726E-3</v>
      </c>
      <c r="AE1">
        <v>-5.5932631145693716E-3</v>
      </c>
      <c r="AF1">
        <v>-7.7100456862618108E-3</v>
      </c>
      <c r="AG1">
        <v>-9.8378852459888814E-3</v>
      </c>
      <c r="AH1">
        <v>-1.0680595085628778E-2</v>
      </c>
      <c r="AI1">
        <v>-1.1425064520974321E-2</v>
      </c>
      <c r="AJ1">
        <v>-1.3020555269324776E-2</v>
      </c>
      <c r="AK1">
        <v>-1.3245390965612534E-2</v>
      </c>
      <c r="AL1">
        <v>-1.3389527511669413E-2</v>
      </c>
      <c r="AM1">
        <v>-1.4179457584966863E-2</v>
      </c>
      <c r="AN1">
        <v>-1.604129148581513E-2</v>
      </c>
      <c r="AO1">
        <v>-1.6491564657602945E-2</v>
      </c>
      <c r="AP1">
        <v>-1.736882739020805E-2</v>
      </c>
      <c r="AQ1">
        <v>-1.8522184272366075E-2</v>
      </c>
      <c r="AR1">
        <v>-1.8557870166765713E-2</v>
      </c>
      <c r="AS1">
        <v>-1.855461850643526E-2</v>
      </c>
      <c r="AT1">
        <v>-1.8540621037889001E-2</v>
      </c>
      <c r="AU1">
        <v>-1.8458496447399494E-2</v>
      </c>
      <c r="AV1">
        <v>-1.8403639598334576E-2</v>
      </c>
      <c r="AW1">
        <v>-1.8343567207298916E-2</v>
      </c>
      <c r="AX1">
        <v>-1.7779885722574801E-2</v>
      </c>
      <c r="AY1">
        <v>-1.7497710564776461E-2</v>
      </c>
      <c r="AZ1">
        <v>-1.7365937800559152E-2</v>
      </c>
      <c r="BA1">
        <v>-1.6807442013615264E-2</v>
      </c>
      <c r="BB1">
        <v>-1.5721103469052769E-2</v>
      </c>
      <c r="BC1">
        <v>-1.5607692187113045E-2</v>
      </c>
      <c r="BD1">
        <v>-1.444866686093939E-2</v>
      </c>
      <c r="BE1">
        <v>-1.2892957938716903E-2</v>
      </c>
      <c r="BF1">
        <v>-1.1900860334730316E-2</v>
      </c>
      <c r="BG1">
        <v>-1.1491208864701999E-2</v>
      </c>
      <c r="BH1">
        <v>-1.0718294512464905E-2</v>
      </c>
      <c r="BI1">
        <v>-9.2576771723316686E-3</v>
      </c>
      <c r="BJ1">
        <v>-6.2072643977884876E-3</v>
      </c>
      <c r="BK1">
        <v>-5.3757176413178516E-3</v>
      </c>
      <c r="BL1">
        <v>-4.3044718503316235E-3</v>
      </c>
      <c r="BM1">
        <v>6.3136784933673926E-4</v>
      </c>
      <c r="BN1">
        <v>1.6209272175487927E-3</v>
      </c>
      <c r="BO1">
        <v>4.4777550261849439E-3</v>
      </c>
      <c r="BP1">
        <v>4.7067304495553453E-3</v>
      </c>
      <c r="BQ1">
        <v>4.8298676384923569E-3</v>
      </c>
      <c r="BR1">
        <v>5.1040326716749575E-3</v>
      </c>
      <c r="BS1">
        <v>5.7908752475355598E-3</v>
      </c>
      <c r="BT1">
        <v>6.5711024599038985E-3</v>
      </c>
      <c r="BU1">
        <v>6.9169658643895397E-3</v>
      </c>
      <c r="BV1">
        <v>6.9439004651013136E-3</v>
      </c>
      <c r="BW1">
        <v>7.3725638117582131E-3</v>
      </c>
      <c r="BX1">
        <v>7.3916271880646277E-3</v>
      </c>
      <c r="BY1">
        <v>7.8752434244163186E-3</v>
      </c>
      <c r="BZ1">
        <v>8.5833996716024701E-3</v>
      </c>
      <c r="CA1">
        <v>8.7927705339159151E-3</v>
      </c>
      <c r="CB1">
        <v>8.8072522175025782E-3</v>
      </c>
      <c r="CC1">
        <v>8.6363822717745869E-3</v>
      </c>
      <c r="CD1">
        <v>8.6258734264393726E-3</v>
      </c>
      <c r="CE1">
        <v>8.6030250677364972E-3</v>
      </c>
      <c r="CF1">
        <v>8.2751550716941499E-3</v>
      </c>
      <c r="CG1">
        <v>8.0123858476825599E-3</v>
      </c>
      <c r="CH1">
        <v>6.9161402618046208E-3</v>
      </c>
      <c r="CI1">
        <v>3.4470926003046312E-3</v>
      </c>
      <c r="CJ1">
        <v>-6.7076857181722072E-4</v>
      </c>
      <c r="CK1">
        <v>-2.0774135915964387E-3</v>
      </c>
      <c r="CL1">
        <v>-2.2038498701159315E-3</v>
      </c>
      <c r="CM1">
        <v>-3.0369509670526151E-3</v>
      </c>
      <c r="CN1">
        <v>-3.7823519992974397E-3</v>
      </c>
      <c r="CO1">
        <v>-5.5597205978242248E-3</v>
      </c>
      <c r="CP1">
        <v>-5.8632137892466463E-3</v>
      </c>
      <c r="CQ1">
        <v>-5.8838381119124539E-3</v>
      </c>
      <c r="CR1">
        <v>-5.3227978614426852E-3</v>
      </c>
      <c r="CS1">
        <v>-3.5421328553739972E-3</v>
      </c>
      <c r="CT1">
        <v>-1.6665715220948452E-3</v>
      </c>
      <c r="CU1">
        <v>1.1041243541773382E-3</v>
      </c>
      <c r="CV1">
        <v>8.1518115602701724E-3</v>
      </c>
    </row>
    <row r="2" spans="1:100" x14ac:dyDescent="0.15">
      <c r="A2">
        <v>-0.84057566133582584</v>
      </c>
      <c r="B2">
        <v>-0.78945291087475555</v>
      </c>
      <c r="C2">
        <v>-0.78485979825560226</v>
      </c>
      <c r="D2">
        <v>-0.55149626806251906</v>
      </c>
      <c r="E2">
        <v>-0.5375855484773383</v>
      </c>
      <c r="F2">
        <v>-0.46766027186509807</v>
      </c>
      <c r="G2">
        <v>-0.42970299521911826</v>
      </c>
      <c r="H2">
        <v>-0.39088534096556443</v>
      </c>
      <c r="I2">
        <v>-0.35211189266126591</v>
      </c>
      <c r="J2">
        <v>-0.17591862549491319</v>
      </c>
      <c r="K2">
        <v>-0.14045095832265411</v>
      </c>
      <c r="L2">
        <v>-3.6959736634643525E-2</v>
      </c>
      <c r="M2">
        <v>1.959907549370362E-3</v>
      </c>
      <c r="N2">
        <v>1.4811486818380286E-2</v>
      </c>
      <c r="O2">
        <v>3.7632767972534995E-2</v>
      </c>
      <c r="P2">
        <v>5.5648415200294975E-2</v>
      </c>
      <c r="Q2">
        <v>5.8455371116784824E-2</v>
      </c>
      <c r="R2">
        <v>6.3758346299653212E-2</v>
      </c>
      <c r="S2">
        <v>6.5889199683145508E-2</v>
      </c>
      <c r="T2">
        <v>8.3150433007654831E-2</v>
      </c>
      <c r="U2">
        <v>8.9234169918090356E-2</v>
      </c>
      <c r="V2">
        <v>0.10200141554079546</v>
      </c>
      <c r="W2">
        <v>0.11716312893105453</v>
      </c>
      <c r="X2">
        <v>0.15038942967740937</v>
      </c>
      <c r="Y2">
        <v>0.15792717962200439</v>
      </c>
      <c r="Z2">
        <v>0.19153801604026541</v>
      </c>
      <c r="AA2">
        <v>0.19187626401281543</v>
      </c>
      <c r="AB2">
        <v>0.20762343447723597</v>
      </c>
      <c r="AC2">
        <v>0.2178725100131497</v>
      </c>
      <c r="AD2">
        <v>0.21806589868057411</v>
      </c>
      <c r="AE2">
        <v>0.2276046025974669</v>
      </c>
      <c r="AF2">
        <v>0.23459382647762886</v>
      </c>
      <c r="AG2">
        <v>0.24013774593785345</v>
      </c>
      <c r="AH2">
        <v>0.24181369679823703</v>
      </c>
      <c r="AI2">
        <v>0.24299452809491159</v>
      </c>
      <c r="AJ2">
        <v>0.24435566108639467</v>
      </c>
      <c r="AK2">
        <v>0.24439258137623163</v>
      </c>
      <c r="AL2">
        <v>0.24439266510920712</v>
      </c>
      <c r="AM2">
        <v>0.24402753337425681</v>
      </c>
      <c r="AN2">
        <v>0.2397428645794196</v>
      </c>
      <c r="AO2">
        <v>0.2375818032942825</v>
      </c>
      <c r="AP2">
        <v>0.2309903041480644</v>
      </c>
      <c r="AQ2">
        <v>0.20404662226006659</v>
      </c>
      <c r="AR2">
        <v>0.19718146960011998</v>
      </c>
      <c r="AS2">
        <v>0.19424851489136344</v>
      </c>
      <c r="AT2">
        <v>0.19115363953972231</v>
      </c>
      <c r="AU2">
        <v>0.18305064256311632</v>
      </c>
      <c r="AV2">
        <v>0.17947390498190058</v>
      </c>
      <c r="AW2">
        <v>0.17615261934325968</v>
      </c>
      <c r="AX2">
        <v>0.15477940502624074</v>
      </c>
      <c r="AY2">
        <v>0.14664119426207178</v>
      </c>
      <c r="AZ2">
        <v>0.14312452579486398</v>
      </c>
      <c r="BA2">
        <v>0.12956432650629188</v>
      </c>
      <c r="BB2">
        <v>0.10697767970769698</v>
      </c>
      <c r="BC2">
        <v>0.1048107408806144</v>
      </c>
      <c r="BD2">
        <v>8.4069070086719863E-2</v>
      </c>
      <c r="BE2">
        <v>5.9142652771541696E-2</v>
      </c>
      <c r="BF2">
        <v>4.4487746945863112E-2</v>
      </c>
      <c r="BG2">
        <v>3.8665147597766784E-2</v>
      </c>
      <c r="BH2">
        <v>2.8001815529104079E-2</v>
      </c>
      <c r="BI2">
        <v>8.8738531925999179E-3</v>
      </c>
      <c r="BJ2">
        <v>-2.7434147630740643E-2</v>
      </c>
      <c r="BK2">
        <v>-3.6570914043063368E-2</v>
      </c>
      <c r="BL2">
        <v>-4.7886785571985307E-2</v>
      </c>
      <c r="BM2">
        <v>-9.3236998249326408E-2</v>
      </c>
      <c r="BN2">
        <v>-0.10082244426885473</v>
      </c>
      <c r="BO2">
        <v>-0.118832092609781</v>
      </c>
      <c r="BP2">
        <v>-0.11995364979166381</v>
      </c>
      <c r="BQ2">
        <v>-0.12053151219681316</v>
      </c>
      <c r="BR2">
        <v>-0.12175045010358565</v>
      </c>
      <c r="BS2">
        <v>-0.12434005019216378</v>
      </c>
      <c r="BT2">
        <v>-0.12626338602481027</v>
      </c>
      <c r="BU2">
        <v>-0.12665250916543036</v>
      </c>
      <c r="BV2">
        <v>-0.12666795343272325</v>
      </c>
      <c r="BW2">
        <v>-0.12656370607646877</v>
      </c>
      <c r="BX2">
        <v>-0.12654170822873262</v>
      </c>
      <c r="BY2">
        <v>-0.1253191242645286</v>
      </c>
      <c r="BZ2">
        <v>-0.11921269072035634</v>
      </c>
      <c r="CA2">
        <v>-0.11442865530793342</v>
      </c>
      <c r="CB2">
        <v>-0.11393118384452042</v>
      </c>
      <c r="CC2">
        <v>-8.2947592328199399E-2</v>
      </c>
      <c r="CD2">
        <v>-8.2520421823362805E-2</v>
      </c>
      <c r="CE2">
        <v>-8.1610326864876237E-2</v>
      </c>
      <c r="CF2">
        <v>-7.03831195740246E-2</v>
      </c>
      <c r="CG2">
        <v>-6.2797023677177682E-2</v>
      </c>
      <c r="CH2">
        <v>-3.6715237182519511E-2</v>
      </c>
      <c r="CI2">
        <v>2.5239129576472286E-2</v>
      </c>
      <c r="CJ2">
        <v>8.1241643724516699E-2</v>
      </c>
      <c r="CK2">
        <v>9.6665066265142263E-2</v>
      </c>
      <c r="CL2">
        <v>9.7936774074512289E-2</v>
      </c>
      <c r="CM2">
        <v>0.10573518920942004</v>
      </c>
      <c r="CN2">
        <v>0.11164668941600542</v>
      </c>
      <c r="CO2">
        <v>0.11621577245061565</v>
      </c>
      <c r="CP2">
        <v>0.10933783453466606</v>
      </c>
      <c r="CQ2">
        <v>0.10672582163361177</v>
      </c>
      <c r="CR2">
        <v>7.6107333161399504E-2</v>
      </c>
      <c r="CS2">
        <v>2.7778158610670678E-2</v>
      </c>
      <c r="CT2">
        <v>-1.4407102467403954E-2</v>
      </c>
      <c r="CU2">
        <v>-7.1156883328214793E-2</v>
      </c>
      <c r="CV2">
        <v>-0.20281544067343171</v>
      </c>
    </row>
    <row r="3" spans="1:100" x14ac:dyDescent="0.15">
      <c r="A3">
        <v>1.2835692838305675</v>
      </c>
      <c r="B3">
        <v>1.1755834515415737</v>
      </c>
      <c r="C3">
        <v>1.1659398528436404</v>
      </c>
      <c r="D3">
        <v>0.68999484714467985</v>
      </c>
      <c r="E3">
        <v>0.66257973998843822</v>
      </c>
      <c r="F3">
        <v>0.52663078543170239</v>
      </c>
      <c r="G3">
        <v>0.45421117249550169</v>
      </c>
      <c r="H3">
        <v>0.38123013294074554</v>
      </c>
      <c r="I3">
        <v>0.30949466410918358</v>
      </c>
      <c r="J3">
        <v>8.0360987205780807E-4</v>
      </c>
      <c r="K3">
        <v>-5.7199971976207381E-2</v>
      </c>
      <c r="L3">
        <v>-0.21582433477798574</v>
      </c>
      <c r="M3">
        <v>-0.27038491237035867</v>
      </c>
      <c r="N3">
        <v>-0.28764038462254632</v>
      </c>
      <c r="O3">
        <v>-0.3172228866598179</v>
      </c>
      <c r="P3">
        <v>-0.33951335807700711</v>
      </c>
      <c r="Q3">
        <v>-0.34289394783665961</v>
      </c>
      <c r="R3">
        <v>-0.34920858343211386</v>
      </c>
      <c r="S3">
        <v>-0.35171876037531541</v>
      </c>
      <c r="T3">
        <v>-0.37144243963569984</v>
      </c>
      <c r="U3">
        <v>-0.37811763088943495</v>
      </c>
      <c r="V3">
        <v>-0.39160925172801503</v>
      </c>
      <c r="W3">
        <v>-0.40662363918067018</v>
      </c>
      <c r="X3">
        <v>-0.43478330655382513</v>
      </c>
      <c r="Y3">
        <v>-0.44003699840244237</v>
      </c>
      <c r="Z3">
        <v>-0.45591635421173321</v>
      </c>
      <c r="AA3">
        <v>-0.45599390184111033</v>
      </c>
      <c r="AB3">
        <v>-0.45687536327078015</v>
      </c>
      <c r="AC3">
        <v>-0.45351986715322962</v>
      </c>
      <c r="AD3">
        <v>-0.45341448655689581</v>
      </c>
      <c r="AE3">
        <v>-0.4454097386373867</v>
      </c>
      <c r="AF3">
        <v>-0.43405446117554186</v>
      </c>
      <c r="AG3">
        <v>-0.41730451483511688</v>
      </c>
      <c r="AH3">
        <v>-0.40882123127503067</v>
      </c>
      <c r="AI3">
        <v>-0.40026933428675954</v>
      </c>
      <c r="AJ3">
        <v>-0.37784959901520931</v>
      </c>
      <c r="AK3">
        <v>-0.37415190516426022</v>
      </c>
      <c r="AL3">
        <v>-0.37169985055357041</v>
      </c>
      <c r="AM3">
        <v>-0.35700156906368608</v>
      </c>
      <c r="AN3">
        <v>-0.31066485346163936</v>
      </c>
      <c r="AO3">
        <v>-0.29565325591826241</v>
      </c>
      <c r="AP3">
        <v>-0.25843030413144524</v>
      </c>
      <c r="AQ3">
        <v>-0.14904004141801983</v>
      </c>
      <c r="AR3">
        <v>-0.12584902970847622</v>
      </c>
      <c r="AS3">
        <v>-0.11628813994993252</v>
      </c>
      <c r="AT3">
        <v>-0.10639958412959195</v>
      </c>
      <c r="AU3">
        <v>-8.1380293420549546E-2</v>
      </c>
      <c r="AV3">
        <v>-7.0697059076194571E-2</v>
      </c>
      <c r="AW3">
        <v>-6.0955960526708333E-2</v>
      </c>
      <c r="AX3">
        <v>-1.8197801785374763E-3</v>
      </c>
      <c r="AY3">
        <v>1.9306959765899231E-2</v>
      </c>
      <c r="AZ3">
        <v>2.8227839300610146E-2</v>
      </c>
      <c r="BA3">
        <v>6.1537309814600101E-2</v>
      </c>
      <c r="BB3">
        <v>0.1135347701926268</v>
      </c>
      <c r="BC3">
        <v>0.11831142444962595</v>
      </c>
      <c r="BD3">
        <v>0.16227312944728473</v>
      </c>
      <c r="BE3">
        <v>0.21104880385964631</v>
      </c>
      <c r="BF3">
        <v>0.23769899701423525</v>
      </c>
      <c r="BG3">
        <v>0.24786766090405202</v>
      </c>
      <c r="BH3">
        <v>0.26585967773311281</v>
      </c>
      <c r="BI3">
        <v>0.29601649740321623</v>
      </c>
      <c r="BJ3">
        <v>0.34492529245606057</v>
      </c>
      <c r="BK3">
        <v>0.35522983963500632</v>
      </c>
      <c r="BL3">
        <v>0.36664909975800497</v>
      </c>
      <c r="BM3">
        <v>0.39067929486950059</v>
      </c>
      <c r="BN3">
        <v>0.38897400548990824</v>
      </c>
      <c r="BO3">
        <v>0.36673856441004599</v>
      </c>
      <c r="BP3">
        <v>0.36350904894064234</v>
      </c>
      <c r="BQ3">
        <v>0.36165791454271667</v>
      </c>
      <c r="BR3">
        <v>0.35722983697619543</v>
      </c>
      <c r="BS3">
        <v>0.34403021711576998</v>
      </c>
      <c r="BT3">
        <v>0.32440067294725305</v>
      </c>
      <c r="BU3">
        <v>0.31358426225321218</v>
      </c>
      <c r="BV3">
        <v>0.31267401963904651</v>
      </c>
      <c r="BW3">
        <v>0.29658655945175966</v>
      </c>
      <c r="BX3">
        <v>0.29579167687757302</v>
      </c>
      <c r="BY3">
        <v>0.27258286757991901</v>
      </c>
      <c r="BZ3">
        <v>0.21880787058573067</v>
      </c>
      <c r="CA3">
        <v>0.18924069290765019</v>
      </c>
      <c r="CB3">
        <v>0.18643105582287312</v>
      </c>
      <c r="CC3">
        <v>5.0416138577822511E-2</v>
      </c>
      <c r="CD3">
        <v>4.8837215431403791E-2</v>
      </c>
      <c r="CE3">
        <v>4.5489994168928044E-2</v>
      </c>
      <c r="CF3">
        <v>5.8728085148311016E-3</v>
      </c>
      <c r="CG3">
        <v>-1.9393039493215136E-2</v>
      </c>
      <c r="CH3">
        <v>-9.9207662970388771E-2</v>
      </c>
      <c r="CI3">
        <v>-0.25685362432919534</v>
      </c>
      <c r="CJ3">
        <v>-0.36226348502418559</v>
      </c>
      <c r="CK3">
        <v>-0.38076395297774329</v>
      </c>
      <c r="CL3">
        <v>-0.38188165023740561</v>
      </c>
      <c r="CM3">
        <v>-0.38647542650811773</v>
      </c>
      <c r="CN3">
        <v>-0.38549244013922601</v>
      </c>
      <c r="CO3">
        <v>-0.33747113571020537</v>
      </c>
      <c r="CP3">
        <v>-0.2924803170937077</v>
      </c>
      <c r="CQ3">
        <v>-0.2791150430867918</v>
      </c>
      <c r="CR3">
        <v>-0.15397469775068362</v>
      </c>
      <c r="CS3">
        <v>8.4434515593070358E-3</v>
      </c>
      <c r="CT3">
        <v>0.13763250956068185</v>
      </c>
      <c r="CU3">
        <v>0.30173462236587878</v>
      </c>
      <c r="CV3">
        <v>0.65819730577632884</v>
      </c>
    </row>
    <row r="4" spans="1:100" x14ac:dyDescent="0.15">
      <c r="A4">
        <v>-1.9383568221078552E-2</v>
      </c>
      <c r="B4">
        <v>1.3937757465111245E-2</v>
      </c>
      <c r="C4">
        <v>1.682667147011872E-2</v>
      </c>
      <c r="D4">
        <v>0.13919394554149891</v>
      </c>
      <c r="E4">
        <v>0.14487088374197651</v>
      </c>
      <c r="F4">
        <v>0.17037923536789953</v>
      </c>
      <c r="G4">
        <v>0.1820201700099755</v>
      </c>
      <c r="H4">
        <v>0.19223085657054384</v>
      </c>
      <c r="I4">
        <v>0.2006386378760715</v>
      </c>
      <c r="J4">
        <v>0.2133879837690939</v>
      </c>
      <c r="K4">
        <v>0.21015224762901974</v>
      </c>
      <c r="L4">
        <v>0.18681873645011376</v>
      </c>
      <c r="M4">
        <v>0.17170097613274676</v>
      </c>
      <c r="N4">
        <v>0.16580277382718861</v>
      </c>
      <c r="O4">
        <v>0.15409882205370642</v>
      </c>
      <c r="P4">
        <v>0.14364890596076596</v>
      </c>
      <c r="Q4">
        <v>0.14191715057862758</v>
      </c>
      <c r="R4">
        <v>0.13856550141253873</v>
      </c>
      <c r="S4">
        <v>0.13718869019235944</v>
      </c>
      <c r="T4">
        <v>0.12536800356957151</v>
      </c>
      <c r="U4">
        <v>0.1209026014142342</v>
      </c>
      <c r="V4">
        <v>0.11098081459961352</v>
      </c>
      <c r="W4">
        <v>9.8141163378218349E-2</v>
      </c>
      <c r="X4">
        <v>6.5177044042141793E-2</v>
      </c>
      <c r="Y4">
        <v>5.6576872381571615E-2</v>
      </c>
      <c r="Z4">
        <v>1.1081982886154957E-2</v>
      </c>
      <c r="AA4">
        <v>1.0548176622868125E-2</v>
      </c>
      <c r="AB4">
        <v>-1.6745537641648895E-2</v>
      </c>
      <c r="AC4">
        <v>-3.7956484898040856E-2</v>
      </c>
      <c r="AD4">
        <v>-3.8392964393506514E-2</v>
      </c>
      <c r="AE4">
        <v>-6.2303013170022452E-2</v>
      </c>
      <c r="AF4">
        <v>-8.4409515814390296E-2</v>
      </c>
      <c r="AG4">
        <v>-0.10829285572419137</v>
      </c>
      <c r="AH4">
        <v>-0.1182845916668001</v>
      </c>
      <c r="AI4">
        <v>-0.12739782958316895</v>
      </c>
      <c r="AJ4">
        <v>-0.1479691577095491</v>
      </c>
      <c r="AK4">
        <v>-0.15099795972259353</v>
      </c>
      <c r="AL4">
        <v>-0.15295853496045259</v>
      </c>
      <c r="AM4">
        <v>-0.16398707886279298</v>
      </c>
      <c r="AN4">
        <v>-0.19241430202740734</v>
      </c>
      <c r="AO4">
        <v>-0.20001495886493614</v>
      </c>
      <c r="AP4">
        <v>-0.21620256709574667</v>
      </c>
      <c r="AQ4">
        <v>-0.24663328317912764</v>
      </c>
      <c r="AR4">
        <v>-0.25034202893166302</v>
      </c>
      <c r="AS4">
        <v>-0.25161750441301495</v>
      </c>
      <c r="AT4">
        <v>-0.25278365592585056</v>
      </c>
      <c r="AU4">
        <v>-0.25504861746626589</v>
      </c>
      <c r="AV4">
        <v>-0.25571948027336511</v>
      </c>
      <c r="AW4">
        <v>-0.25617772030150909</v>
      </c>
      <c r="AX4">
        <v>-0.25582232196394816</v>
      </c>
      <c r="AY4">
        <v>-0.25437609594595645</v>
      </c>
      <c r="AZ4">
        <v>-0.25355240260035422</v>
      </c>
      <c r="BA4">
        <v>-0.24933025762339794</v>
      </c>
      <c r="BB4">
        <v>-0.23892488248677871</v>
      </c>
      <c r="BC4">
        <v>-0.23772032758913569</v>
      </c>
      <c r="BD4">
        <v>-0.22447231896473363</v>
      </c>
      <c r="BE4">
        <v>-0.20459599618205696</v>
      </c>
      <c r="BF4">
        <v>-0.1909454363046095</v>
      </c>
      <c r="BG4">
        <v>-0.18511803016689485</v>
      </c>
      <c r="BH4">
        <v>-0.17384383394923125</v>
      </c>
      <c r="BI4">
        <v>-0.15161976544998507</v>
      </c>
      <c r="BJ4">
        <v>-0.10176087891600923</v>
      </c>
      <c r="BK4">
        <v>-8.7423585654026775E-2</v>
      </c>
      <c r="BL4">
        <v>-6.850202992770478E-2</v>
      </c>
      <c r="BM4">
        <v>2.5276956642429294E-2</v>
      </c>
      <c r="BN4">
        <v>4.5464260444499638E-2</v>
      </c>
      <c r="BO4">
        <v>0.10690948215537674</v>
      </c>
      <c r="BP4">
        <v>0.1120758496625745</v>
      </c>
      <c r="BQ4">
        <v>0.11487189518125776</v>
      </c>
      <c r="BR4">
        <v>0.12114390573355621</v>
      </c>
      <c r="BS4">
        <v>0.13716665418007901</v>
      </c>
      <c r="BT4">
        <v>0.15601291738082029</v>
      </c>
      <c r="BU4">
        <v>0.16464461851596365</v>
      </c>
      <c r="BV4">
        <v>0.16532540062650933</v>
      </c>
      <c r="BW4">
        <v>0.17635632306336282</v>
      </c>
      <c r="BX4">
        <v>0.17685645582237194</v>
      </c>
      <c r="BY4">
        <v>0.1898976373213967</v>
      </c>
      <c r="BZ4">
        <v>0.21115701161802802</v>
      </c>
      <c r="CA4">
        <v>0.21884862239092689</v>
      </c>
      <c r="CB4">
        <v>0.21945702631097391</v>
      </c>
      <c r="CC4">
        <v>0.22857020749554835</v>
      </c>
      <c r="CD4">
        <v>0.22847184624958405</v>
      </c>
      <c r="CE4">
        <v>0.22824930345821648</v>
      </c>
      <c r="CF4">
        <v>0.22419229683248998</v>
      </c>
      <c r="CG4">
        <v>0.22026038443645402</v>
      </c>
      <c r="CH4">
        <v>0.2010187627891038</v>
      </c>
      <c r="CI4">
        <v>0.12830126215535209</v>
      </c>
      <c r="CJ4">
        <v>2.9805544822842922E-2</v>
      </c>
      <c r="CK4">
        <v>-6.7234615720463964E-3</v>
      </c>
      <c r="CL4">
        <v>-1.0097616473329296E-2</v>
      </c>
      <c r="CM4">
        <v>-3.2788660551252402E-2</v>
      </c>
      <c r="CN4">
        <v>-5.3926960514236733E-2</v>
      </c>
      <c r="CO4">
        <v>-0.1116282671336748</v>
      </c>
      <c r="CP4">
        <v>-0.12721427270880525</v>
      </c>
      <c r="CQ4">
        <v>-0.12986591620182253</v>
      </c>
      <c r="CR4">
        <v>-0.13307984465657263</v>
      </c>
      <c r="CS4">
        <v>-0.10677445111793737</v>
      </c>
      <c r="CT4">
        <v>-7.2358898316370102E-2</v>
      </c>
      <c r="CU4">
        <v>-1.7087846649491922E-2</v>
      </c>
      <c r="CV4">
        <v>0.13402291290537605</v>
      </c>
    </row>
    <row r="5" spans="1:100" x14ac:dyDescent="0.15">
      <c r="A5">
        <v>-0.4548483602754923</v>
      </c>
      <c r="B5">
        <v>-0.41329474192569327</v>
      </c>
      <c r="C5">
        <v>-0.40955917081775267</v>
      </c>
      <c r="D5">
        <v>-0.22031277707112118</v>
      </c>
      <c r="E5">
        <v>-0.20913218628161734</v>
      </c>
      <c r="F5">
        <v>-0.15327745302435894</v>
      </c>
      <c r="G5">
        <v>-0.12326078754166833</v>
      </c>
      <c r="H5">
        <v>-9.2844281050179847E-2</v>
      </c>
      <c r="I5">
        <v>-6.2801580719729175E-2</v>
      </c>
      <c r="J5">
        <v>6.7373125460349764E-2</v>
      </c>
      <c r="K5">
        <v>9.1760574814630888E-2</v>
      </c>
      <c r="L5">
        <v>0.15728989860765999</v>
      </c>
      <c r="M5">
        <v>0.17896110948054897</v>
      </c>
      <c r="N5">
        <v>0.18563953595895283</v>
      </c>
      <c r="O5">
        <v>0.19681050630903255</v>
      </c>
      <c r="P5">
        <v>0.20492116921903428</v>
      </c>
      <c r="Q5">
        <v>0.20612210569721812</v>
      </c>
      <c r="R5">
        <v>0.20834144900771134</v>
      </c>
      <c r="S5">
        <v>0.20921447541183852</v>
      </c>
      <c r="T5">
        <v>0.21586087570033308</v>
      </c>
      <c r="U5">
        <v>0.21800849076800125</v>
      </c>
      <c r="V5">
        <v>0.22214549057477698</v>
      </c>
      <c r="W5">
        <v>0.22632687304076102</v>
      </c>
      <c r="X5">
        <v>0.23195769343107847</v>
      </c>
      <c r="Y5">
        <v>0.23237210558967497</v>
      </c>
      <c r="Z5">
        <v>0.2283200356210158</v>
      </c>
      <c r="AA5">
        <v>0.22821405318841076</v>
      </c>
      <c r="AB5">
        <v>0.22108397827458573</v>
      </c>
      <c r="AC5">
        <v>0.21325468651726234</v>
      </c>
      <c r="AD5">
        <v>0.21307258757534411</v>
      </c>
      <c r="AE5">
        <v>0.20178526085438372</v>
      </c>
      <c r="AF5">
        <v>0.18898552705947791</v>
      </c>
      <c r="AG5">
        <v>0.17241465238488285</v>
      </c>
      <c r="AH5">
        <v>0.16456401853893945</v>
      </c>
      <c r="AI5">
        <v>0.15689115633402137</v>
      </c>
      <c r="AJ5">
        <v>0.13759225083506818</v>
      </c>
      <c r="AK5">
        <v>0.13449704043388189</v>
      </c>
      <c r="AL5">
        <v>0.13245588273269174</v>
      </c>
      <c r="AM5">
        <v>0.1203907371786075</v>
      </c>
      <c r="AN5">
        <v>8.3810542464000048E-2</v>
      </c>
      <c r="AO5">
        <v>7.2319918077363307E-2</v>
      </c>
      <c r="AP5">
        <v>4.4410308661085807E-2</v>
      </c>
      <c r="AQ5">
        <v>-3.3865731872321995E-2</v>
      </c>
      <c r="AR5">
        <v>-4.9847907614074899E-2</v>
      </c>
      <c r="AS5">
        <v>-5.6378068237812745E-2</v>
      </c>
      <c r="AT5">
        <v>-6.3096039056698333E-2</v>
      </c>
      <c r="AU5">
        <v>-7.9929482104598923E-2</v>
      </c>
      <c r="AV5">
        <v>-8.7045272500863954E-2</v>
      </c>
      <c r="AW5">
        <v>-9.3495494201724191E-2</v>
      </c>
      <c r="AX5">
        <v>-0.13184784469892355</v>
      </c>
      <c r="AY5">
        <v>-0.14519611504845403</v>
      </c>
      <c r="AZ5">
        <v>-0.15077294473899966</v>
      </c>
      <c r="BA5">
        <v>-0.17126515653337654</v>
      </c>
      <c r="BB5">
        <v>-0.20209711172462194</v>
      </c>
      <c r="BC5">
        <v>-0.2048503807750216</v>
      </c>
      <c r="BD5">
        <v>-0.22946499431953737</v>
      </c>
      <c r="BE5">
        <v>-0.25494227407604503</v>
      </c>
      <c r="BF5">
        <v>-0.26781044761991007</v>
      </c>
      <c r="BG5">
        <v>-0.27247665697176154</v>
      </c>
      <c r="BH5">
        <v>-0.2803423446098412</v>
      </c>
      <c r="BI5">
        <v>-0.29213412560394036</v>
      </c>
      <c r="BJ5">
        <v>-0.30514917529332763</v>
      </c>
      <c r="BK5">
        <v>-0.30612093702433307</v>
      </c>
      <c r="BL5">
        <v>-0.30575343328331073</v>
      </c>
      <c r="BM5">
        <v>-0.27837194636841406</v>
      </c>
      <c r="BN5">
        <v>-0.26687814968204882</v>
      </c>
      <c r="BO5">
        <v>-0.21742960166815992</v>
      </c>
      <c r="BP5">
        <v>-0.21209840539133507</v>
      </c>
      <c r="BQ5">
        <v>-0.20912299771244869</v>
      </c>
      <c r="BR5">
        <v>-0.20220756818016544</v>
      </c>
      <c r="BS5">
        <v>-0.18288430743671064</v>
      </c>
      <c r="BT5">
        <v>-0.15653325640303017</v>
      </c>
      <c r="BU5">
        <v>-0.14284426938372274</v>
      </c>
      <c r="BV5">
        <v>-0.14171376835407806</v>
      </c>
      <c r="BW5">
        <v>-0.12220268407707624</v>
      </c>
      <c r="BX5">
        <v>-0.12125962393682527</v>
      </c>
      <c r="BY5">
        <v>-9.4449717570850467E-2</v>
      </c>
      <c r="BZ5">
        <v>-3.645607753535296E-2</v>
      </c>
      <c r="CA5">
        <v>-6.3933396731333803E-3</v>
      </c>
      <c r="CB5">
        <v>-3.5922293034966746E-3</v>
      </c>
      <c r="CC5">
        <v>0.12277300108623768</v>
      </c>
      <c r="CD5">
        <v>0.1241466762019624</v>
      </c>
      <c r="CE5">
        <v>0.12705231388180693</v>
      </c>
      <c r="CF5">
        <v>0.1607833373458103</v>
      </c>
      <c r="CG5">
        <v>0.1816669981185739</v>
      </c>
      <c r="CH5">
        <v>0.24438385884426417</v>
      </c>
      <c r="CI5">
        <v>0.35075618796983088</v>
      </c>
      <c r="CJ5">
        <v>0.39399497280717055</v>
      </c>
      <c r="CK5">
        <v>0.38996853739125115</v>
      </c>
      <c r="CL5">
        <v>0.38900531885487766</v>
      </c>
      <c r="CM5">
        <v>0.37957248468100557</v>
      </c>
      <c r="CN5">
        <v>0.3654216582040668</v>
      </c>
      <c r="CO5">
        <v>0.2798051115157687</v>
      </c>
      <c r="CP5">
        <v>0.22310602223519993</v>
      </c>
      <c r="CQ5">
        <v>0.20744358382042449</v>
      </c>
      <c r="CR5">
        <v>7.3456770080518652E-2</v>
      </c>
      <c r="CS5">
        <v>-8.2977754083146671E-2</v>
      </c>
      <c r="CT5">
        <v>-0.19987358287211343</v>
      </c>
      <c r="CU5">
        <v>-0.34202449739363416</v>
      </c>
      <c r="CV5">
        <v>-0.63403706775759083</v>
      </c>
    </row>
    <row r="6" spans="1:100" x14ac:dyDescent="0.15">
      <c r="A6">
        <v>-0.36158999499371236</v>
      </c>
      <c r="B6">
        <v>-0.34403174013007121</v>
      </c>
      <c r="C6">
        <v>-0.34241763322201557</v>
      </c>
      <c r="D6">
        <v>-0.25186211869484898</v>
      </c>
      <c r="E6">
        <v>-0.24589892938455543</v>
      </c>
      <c r="F6">
        <v>-0.21487569605625678</v>
      </c>
      <c r="G6">
        <v>-0.19727798339538871</v>
      </c>
      <c r="H6">
        <v>-0.17870648058321623</v>
      </c>
      <c r="I6">
        <v>-0.1595556942608701</v>
      </c>
      <c r="J6">
        <v>-6.4350024149055052E-2</v>
      </c>
      <c r="K6">
        <v>-4.3427290962512882E-2</v>
      </c>
      <c r="L6">
        <v>2.1364704181553056E-2</v>
      </c>
      <c r="M6">
        <v>4.7260947912225376E-2</v>
      </c>
      <c r="N6">
        <v>5.6004641123855663E-2</v>
      </c>
      <c r="O6">
        <v>7.1771154012943192E-2</v>
      </c>
      <c r="P6">
        <v>8.4436251640837401E-2</v>
      </c>
      <c r="Q6">
        <v>8.6426996658994837E-2</v>
      </c>
      <c r="R6">
        <v>9.0200799704037118E-2</v>
      </c>
      <c r="S6">
        <v>9.1721922540840634E-2</v>
      </c>
      <c r="T6">
        <v>0.10414348188729311</v>
      </c>
      <c r="U6">
        <v>0.10856344638272079</v>
      </c>
      <c r="V6">
        <v>0.11790922762775181</v>
      </c>
      <c r="W6">
        <v>0.12912815830501675</v>
      </c>
      <c r="X6">
        <v>0.15413111130717858</v>
      </c>
      <c r="Y6">
        <v>0.15987022685968472</v>
      </c>
      <c r="Z6">
        <v>0.18558159529406776</v>
      </c>
      <c r="AA6">
        <v>0.18583964270891701</v>
      </c>
      <c r="AB6">
        <v>0.19774785494401725</v>
      </c>
      <c r="AC6">
        <v>0.20527226541242596</v>
      </c>
      <c r="AD6">
        <v>0.20541112698656</v>
      </c>
      <c r="AE6">
        <v>0.21201157591407419</v>
      </c>
      <c r="AF6">
        <v>0.21628541818774963</v>
      </c>
      <c r="AG6">
        <v>0.21875059814277456</v>
      </c>
      <c r="AH6">
        <v>0.21905241222047422</v>
      </c>
      <c r="AI6">
        <v>0.21891639912797278</v>
      </c>
      <c r="AJ6">
        <v>0.2170053400034673</v>
      </c>
      <c r="AK6">
        <v>0.21651659824492961</v>
      </c>
      <c r="AL6">
        <v>0.21616931148926605</v>
      </c>
      <c r="AM6">
        <v>0.21373401902339553</v>
      </c>
      <c r="AN6">
        <v>0.20287734383329095</v>
      </c>
      <c r="AO6">
        <v>0.19852791581782814</v>
      </c>
      <c r="AP6">
        <v>0.18631744917198542</v>
      </c>
      <c r="AQ6">
        <v>0.14085168089173047</v>
      </c>
      <c r="AR6">
        <v>0.12962419950414605</v>
      </c>
      <c r="AS6">
        <v>0.12484548813826318</v>
      </c>
      <c r="AT6">
        <v>0.11981209257183179</v>
      </c>
      <c r="AU6">
        <v>0.10666836191488775</v>
      </c>
      <c r="AV6">
        <v>0.10087892493014614</v>
      </c>
      <c r="AW6">
        <v>9.5508153574319882E-2</v>
      </c>
      <c r="AX6">
        <v>6.102260576789105E-2</v>
      </c>
      <c r="AY6">
        <v>4.7912622970704963E-2</v>
      </c>
      <c r="AZ6">
        <v>4.2249811155025171E-2</v>
      </c>
      <c r="BA6">
        <v>2.0425057679723548E-2</v>
      </c>
      <c r="BB6">
        <v>-1.5884161228026203E-2</v>
      </c>
      <c r="BC6">
        <v>-1.936382439923379E-2</v>
      </c>
      <c r="BD6">
        <v>-5.2618877435281854E-2</v>
      </c>
      <c r="BE6">
        <v>-9.239102614562554E-2</v>
      </c>
      <c r="BF6">
        <v>-0.11561867054555051</v>
      </c>
      <c r="BG6">
        <v>-0.12480388203382796</v>
      </c>
      <c r="BH6">
        <v>-0.14154689379406749</v>
      </c>
      <c r="BI6">
        <v>-0.17126029615864902</v>
      </c>
      <c r="BJ6">
        <v>-0.2259228722777761</v>
      </c>
      <c r="BK6">
        <v>-0.23914034490428743</v>
      </c>
      <c r="BL6">
        <v>-0.25507472912506551</v>
      </c>
      <c r="BM6">
        <v>-0.31010095926224684</v>
      </c>
      <c r="BN6">
        <v>-0.31654959771282859</v>
      </c>
      <c r="BO6">
        <v>-0.32168330069506446</v>
      </c>
      <c r="BP6">
        <v>-0.32091639295199831</v>
      </c>
      <c r="BQ6">
        <v>-0.32040796027956686</v>
      </c>
      <c r="BR6">
        <v>-0.31901700013237322</v>
      </c>
      <c r="BS6">
        <v>-0.31373300525637521</v>
      </c>
      <c r="BT6">
        <v>-0.30370067697958036</v>
      </c>
      <c r="BU6">
        <v>-0.29738399032028134</v>
      </c>
      <c r="BV6">
        <v>-0.29683146435064384</v>
      </c>
      <c r="BW6">
        <v>-0.28659887067183709</v>
      </c>
      <c r="BX6">
        <v>-0.28607210345308376</v>
      </c>
      <c r="BY6">
        <v>-0.2699397350763687</v>
      </c>
      <c r="BZ6">
        <v>-0.22810041443122886</v>
      </c>
      <c r="CA6">
        <v>-0.20301759864864621</v>
      </c>
      <c r="CB6">
        <v>-0.20056839941923332</v>
      </c>
      <c r="CC6">
        <v>-7.0664574549010317E-2</v>
      </c>
      <c r="CD6">
        <v>-6.9039919919965553E-2</v>
      </c>
      <c r="CE6">
        <v>-6.5587588810939457E-2</v>
      </c>
      <c r="CF6">
        <v>-2.3895885990205035E-2</v>
      </c>
      <c r="CG6">
        <v>3.479602998738951E-3</v>
      </c>
      <c r="CH6">
        <v>9.3940782853877858E-2</v>
      </c>
      <c r="CI6">
        <v>0.29212925659514521</v>
      </c>
      <c r="CJ6">
        <v>0.448976353149389</v>
      </c>
      <c r="CK6">
        <v>0.48440923610704489</v>
      </c>
      <c r="CL6">
        <v>0.48699890606229235</v>
      </c>
      <c r="CM6">
        <v>0.5009678323973612</v>
      </c>
      <c r="CN6">
        <v>0.50768045963006903</v>
      </c>
      <c r="CO6">
        <v>0.46988568070231107</v>
      </c>
      <c r="CP6">
        <v>0.41907098352291139</v>
      </c>
      <c r="CQ6">
        <v>0.4031081840062849</v>
      </c>
      <c r="CR6">
        <v>0.24347749785579076</v>
      </c>
      <c r="CS6">
        <v>2.0743657943036009E-2</v>
      </c>
      <c r="CT6">
        <v>-0.16397503318853124</v>
      </c>
      <c r="CU6">
        <v>-0.40552388556326724</v>
      </c>
      <c r="CV6">
        <v>-0.94991256202093188</v>
      </c>
    </row>
    <row r="7" spans="1:100" x14ac:dyDescent="0.15">
      <c r="A7">
        <v>-0.12085641513412583</v>
      </c>
      <c r="B7">
        <v>-0.12386591470377827</v>
      </c>
      <c r="C7">
        <v>-0.12410752852265186</v>
      </c>
      <c r="D7">
        <v>-0.12924341262460787</v>
      </c>
      <c r="E7">
        <v>-0.1290501754304533</v>
      </c>
      <c r="F7">
        <v>-0.12707953862301563</v>
      </c>
      <c r="G7">
        <v>-0.12526223697174171</v>
      </c>
      <c r="H7">
        <v>-0.12281097443695228</v>
      </c>
      <c r="I7">
        <v>-0.1197196793858077</v>
      </c>
      <c r="J7">
        <v>-9.5991502334949144E-2</v>
      </c>
      <c r="K7">
        <v>-8.8884881067657642E-2</v>
      </c>
      <c r="L7">
        <v>-6.2190645666475343E-2</v>
      </c>
      <c r="M7">
        <v>-4.9331447944328352E-2</v>
      </c>
      <c r="N7">
        <v>-4.4670758518624218E-2</v>
      </c>
      <c r="O7">
        <v>-3.5824471385735579E-2</v>
      </c>
      <c r="P7">
        <v>-2.8275055718648981E-2</v>
      </c>
      <c r="Q7">
        <v>-2.7050051243799739E-2</v>
      </c>
      <c r="R7">
        <v>-2.4697956951420692E-2</v>
      </c>
      <c r="S7">
        <v>-2.3738617719133992E-2</v>
      </c>
      <c r="T7">
        <v>-1.5650388971586125E-2</v>
      </c>
      <c r="U7">
        <v>-1.2657168429672832E-2</v>
      </c>
      <c r="V7">
        <v>-6.1121634764170181E-3</v>
      </c>
      <c r="W7">
        <v>2.16783130293339E-3</v>
      </c>
      <c r="X7">
        <v>2.2641703034140464E-2</v>
      </c>
      <c r="Y7">
        <v>2.782903687948745E-2</v>
      </c>
      <c r="Z7">
        <v>5.4411793897424246E-2</v>
      </c>
      <c r="AA7">
        <v>5.4715889172474878E-2</v>
      </c>
      <c r="AB7">
        <v>7.0040664123629956E-2</v>
      </c>
      <c r="AC7">
        <v>8.1651215560821361E-2</v>
      </c>
      <c r="AD7">
        <v>8.1887379490478904E-2</v>
      </c>
      <c r="AE7">
        <v>9.4649166573397114E-2</v>
      </c>
      <c r="AF7">
        <v>0.10612501207946706</v>
      </c>
      <c r="AG7">
        <v>0.11812933716112417</v>
      </c>
      <c r="AH7">
        <v>0.1230130196086463</v>
      </c>
      <c r="AI7">
        <v>0.12738677199439036</v>
      </c>
      <c r="AJ7">
        <v>0.13693475851928746</v>
      </c>
      <c r="AK7">
        <v>0.13829733203919981</v>
      </c>
      <c r="AL7">
        <v>0.13917275003428545</v>
      </c>
      <c r="AM7">
        <v>0.14399285113729496</v>
      </c>
      <c r="AN7">
        <v>0.15538252637292621</v>
      </c>
      <c r="AO7">
        <v>0.15808548215361337</v>
      </c>
      <c r="AP7">
        <v>0.163108241620424</v>
      </c>
      <c r="AQ7">
        <v>0.16655361590295203</v>
      </c>
      <c r="AR7">
        <v>0.16538470053047036</v>
      </c>
      <c r="AS7">
        <v>0.16472037446956014</v>
      </c>
      <c r="AT7">
        <v>0.16392200888975136</v>
      </c>
      <c r="AU7">
        <v>0.16139832772981222</v>
      </c>
      <c r="AV7">
        <v>0.1601007311721194</v>
      </c>
      <c r="AW7">
        <v>0.1588024610764831</v>
      </c>
      <c r="AX7">
        <v>0.14852795668393737</v>
      </c>
      <c r="AY7">
        <v>0.14383299342017133</v>
      </c>
      <c r="AZ7">
        <v>0.14168240684681649</v>
      </c>
      <c r="BA7">
        <v>0.13273784821000761</v>
      </c>
      <c r="BB7">
        <v>0.1156885726860355</v>
      </c>
      <c r="BC7">
        <v>0.11391871376854226</v>
      </c>
      <c r="BD7">
        <v>9.583916940473064E-2</v>
      </c>
      <c r="BE7">
        <v>7.1453953832805311E-2</v>
      </c>
      <c r="BF7">
        <v>5.5781980603890391E-2</v>
      </c>
      <c r="BG7">
        <v>4.92799433852565E-2</v>
      </c>
      <c r="BH7">
        <v>3.6962231942682305E-2</v>
      </c>
      <c r="BI7">
        <v>1.3510551278743871E-2</v>
      </c>
      <c r="BJ7">
        <v>-3.6104400128938841E-2</v>
      </c>
      <c r="BK7">
        <v>-4.9742493218158934E-2</v>
      </c>
      <c r="BL7">
        <v>-6.7353399192824182E-2</v>
      </c>
      <c r="BM7">
        <v>-0.14809965080401816</v>
      </c>
      <c r="BN7">
        <v>-0.16388749943922709</v>
      </c>
      <c r="BO7">
        <v>-0.20714270805185642</v>
      </c>
      <c r="BP7">
        <v>-0.21035982693948541</v>
      </c>
      <c r="BQ7">
        <v>-0.21206685737497322</v>
      </c>
      <c r="BR7">
        <v>-0.21580379519212733</v>
      </c>
      <c r="BS7">
        <v>-0.22470282655178098</v>
      </c>
      <c r="BT7">
        <v>-0.2337044439513849</v>
      </c>
      <c r="BU7">
        <v>-0.23714915655135937</v>
      </c>
      <c r="BV7">
        <v>-0.23739911299897043</v>
      </c>
      <c r="BW7">
        <v>-0.2409314037858582</v>
      </c>
      <c r="BX7">
        <v>-0.24106596030552419</v>
      </c>
      <c r="BY7">
        <v>-0.2435848441727626</v>
      </c>
      <c r="BZ7">
        <v>-0.24113487401677802</v>
      </c>
      <c r="CA7">
        <v>-0.23596214497624302</v>
      </c>
      <c r="CB7">
        <v>-0.2353501879821982</v>
      </c>
      <c r="CC7">
        <v>-0.18490815512004311</v>
      </c>
      <c r="CD7">
        <v>-0.1841069938903046</v>
      </c>
      <c r="CE7">
        <v>-0.18239333668043267</v>
      </c>
      <c r="CF7">
        <v>-0.16055258749953039</v>
      </c>
      <c r="CG7">
        <v>-0.14513614152409282</v>
      </c>
      <c r="CH7">
        <v>-8.8750943852323516E-2</v>
      </c>
      <c r="CI7">
        <v>6.2437730769824284E-2</v>
      </c>
      <c r="CJ7">
        <v>0.2198274994193623</v>
      </c>
      <c r="CK7">
        <v>0.26823407620499573</v>
      </c>
      <c r="CL7">
        <v>0.27239432116633822</v>
      </c>
      <c r="CM7">
        <v>0.2987710797708818</v>
      </c>
      <c r="CN7">
        <v>0.3203693025960348</v>
      </c>
      <c r="CO7">
        <v>0.35182024905807729</v>
      </c>
      <c r="CP7">
        <v>0.33981864441336462</v>
      </c>
      <c r="CQ7">
        <v>0.33403303849071797</v>
      </c>
      <c r="CR7">
        <v>0.25473679432974095</v>
      </c>
      <c r="CS7">
        <v>0.11478168028122226</v>
      </c>
      <c r="CT7">
        <v>-1.3878653386605322E-2</v>
      </c>
      <c r="CU7">
        <v>-0.19282420388331545</v>
      </c>
      <c r="CV7">
        <v>-0.62505118312111208</v>
      </c>
    </row>
    <row r="8" spans="1:100" x14ac:dyDescent="0.15">
      <c r="A8">
        <v>0.10790818623102592</v>
      </c>
      <c r="B8">
        <v>9.454447793024004E-2</v>
      </c>
      <c r="C8">
        <v>9.3348727191843242E-2</v>
      </c>
      <c r="D8">
        <v>3.4047871786259926E-2</v>
      </c>
      <c r="E8">
        <v>3.0628967719143443E-2</v>
      </c>
      <c r="F8">
        <v>1.3712531759445553E-2</v>
      </c>
      <c r="G8">
        <v>4.7435925774669671E-3</v>
      </c>
      <c r="H8">
        <v>-4.247190447435779E-3</v>
      </c>
      <c r="I8">
        <v>-1.3020049641929933E-2</v>
      </c>
      <c r="J8">
        <v>-4.9335048119305086E-2</v>
      </c>
      <c r="K8">
        <v>-5.5682895288385173E-2</v>
      </c>
      <c r="L8">
        <v>-7.1339473610514167E-2</v>
      </c>
      <c r="M8">
        <v>-7.5733558857161348E-2</v>
      </c>
      <c r="N8">
        <v>-7.6945973544130325E-2</v>
      </c>
      <c r="O8">
        <v>-7.8755690509567752E-2</v>
      </c>
      <c r="P8">
        <v>-7.9831508195824991E-2</v>
      </c>
      <c r="Q8">
        <v>-7.9967860299109988E-2</v>
      </c>
      <c r="R8">
        <v>-8.0200800543789669E-2</v>
      </c>
      <c r="S8">
        <v>-8.0285057200308277E-2</v>
      </c>
      <c r="T8">
        <v>-8.0755505332630012E-2</v>
      </c>
      <c r="U8">
        <v>-8.0824183165481012E-2</v>
      </c>
      <c r="V8">
        <v>-8.0783886562951684E-2</v>
      </c>
      <c r="W8">
        <v>-8.0371208418991619E-2</v>
      </c>
      <c r="X8">
        <v>-7.7703011637312067E-2</v>
      </c>
      <c r="Y8">
        <v>-7.6666269920033878E-2</v>
      </c>
      <c r="Z8">
        <v>-6.9088261440737833E-2</v>
      </c>
      <c r="AA8">
        <v>-6.8979305064455251E-2</v>
      </c>
      <c r="AB8">
        <v>-6.280445233037929E-2</v>
      </c>
      <c r="AC8">
        <v>-5.7184008092638711E-2</v>
      </c>
      <c r="AD8">
        <v>-5.7060688159529048E-2</v>
      </c>
      <c r="AE8">
        <v>-4.9819497742875862E-2</v>
      </c>
      <c r="AF8">
        <v>-4.2237717271056512E-2</v>
      </c>
      <c r="AG8">
        <v>-3.2999682823111144E-2</v>
      </c>
      <c r="AH8">
        <v>-2.8780302665048111E-2</v>
      </c>
      <c r="AI8">
        <v>-2.4732476329141689E-2</v>
      </c>
      <c r="AJ8">
        <v>-1.4820760649178017E-2</v>
      </c>
      <c r="AK8">
        <v>-1.3261712521362353E-2</v>
      </c>
      <c r="AL8">
        <v>-1.2237715407483619E-2</v>
      </c>
      <c r="AM8">
        <v>-6.2475099997438164E-3</v>
      </c>
      <c r="AN8">
        <v>1.1359308886680514E-2</v>
      </c>
      <c r="AO8">
        <v>1.6743326923537687E-2</v>
      </c>
      <c r="AP8">
        <v>2.9567583151780555E-2</v>
      </c>
      <c r="AQ8">
        <v>6.3797936839568747E-2</v>
      </c>
      <c r="AR8">
        <v>7.0475973834273092E-2</v>
      </c>
      <c r="AS8">
        <v>7.3172614628368896E-2</v>
      </c>
      <c r="AT8">
        <v>7.5926923578219341E-2</v>
      </c>
      <c r="AU8">
        <v>8.2736762576551742E-2</v>
      </c>
      <c r="AV8">
        <v>8.5574365180757284E-2</v>
      </c>
      <c r="AW8">
        <v>8.8124537061422231E-2</v>
      </c>
      <c r="AX8">
        <v>0.10281362713278143</v>
      </c>
      <c r="AY8">
        <v>0.10771164810801383</v>
      </c>
      <c r="AZ8">
        <v>0.10972060308765771</v>
      </c>
      <c r="BA8">
        <v>0.11689132409132616</v>
      </c>
      <c r="BB8">
        <v>0.12692483227595922</v>
      </c>
      <c r="BC8">
        <v>0.12776702412710733</v>
      </c>
      <c r="BD8">
        <v>0.13478686463090356</v>
      </c>
      <c r="BE8">
        <v>0.14072362732161142</v>
      </c>
      <c r="BF8">
        <v>0.14290324635910526</v>
      </c>
      <c r="BG8">
        <v>0.1434883844468661</v>
      </c>
      <c r="BH8">
        <v>0.14412901119374397</v>
      </c>
      <c r="BI8">
        <v>0.14379731320236189</v>
      </c>
      <c r="BJ8">
        <v>0.13711173339385757</v>
      </c>
      <c r="BK8">
        <v>0.13392851961112812</v>
      </c>
      <c r="BL8">
        <v>0.12895857494754559</v>
      </c>
      <c r="BM8">
        <v>9.211148237901301E-2</v>
      </c>
      <c r="BN8">
        <v>8.1454615913226003E-2</v>
      </c>
      <c r="BO8">
        <v>4.1919141346995703E-2</v>
      </c>
      <c r="BP8">
        <v>3.8020489137572167E-2</v>
      </c>
      <c r="BQ8">
        <v>3.5866588212232875E-2</v>
      </c>
      <c r="BR8">
        <v>3.0917672685702557E-2</v>
      </c>
      <c r="BS8">
        <v>1.7470787050775316E-2</v>
      </c>
      <c r="BT8">
        <v>-9.4413698591200301E-5</v>
      </c>
      <c r="BU8">
        <v>-8.9163315128715226E-3</v>
      </c>
      <c r="BV8">
        <v>-9.6363922444147043E-3</v>
      </c>
      <c r="BW8">
        <v>-2.187121301083339E-2</v>
      </c>
      <c r="BX8">
        <v>-2.2453656537943401E-2</v>
      </c>
      <c r="BY8">
        <v>-3.8688484273851298E-2</v>
      </c>
      <c r="BZ8">
        <v>-7.1834653523919823E-2</v>
      </c>
      <c r="CA8">
        <v>-8.8026488863858443E-2</v>
      </c>
      <c r="CB8">
        <v>-8.9501656175191346E-2</v>
      </c>
      <c r="CC8">
        <v>-0.14995765496773661</v>
      </c>
      <c r="CD8">
        <v>-0.15054527471001755</v>
      </c>
      <c r="CE8">
        <v>-0.15178282209904204</v>
      </c>
      <c r="CF8">
        <v>-0.16559033657516764</v>
      </c>
      <c r="CG8">
        <v>-0.17358643421472664</v>
      </c>
      <c r="CH8">
        <v>-0.19455587143548314</v>
      </c>
      <c r="CI8">
        <v>-0.21217962324013762</v>
      </c>
      <c r="CJ8">
        <v>-0.18551525633407628</v>
      </c>
      <c r="CK8">
        <v>-0.16499291154507389</v>
      </c>
      <c r="CL8">
        <v>-0.16277810590833397</v>
      </c>
      <c r="CM8">
        <v>-0.14628261505133722</v>
      </c>
      <c r="CN8">
        <v>-0.12800666691892459</v>
      </c>
      <c r="CO8">
        <v>-5.2682094163632343E-2</v>
      </c>
      <c r="CP8">
        <v>-1.4263186441112907E-2</v>
      </c>
      <c r="CQ8">
        <v>-4.5014423568225936E-3</v>
      </c>
      <c r="CR8">
        <v>6.8804878413018855E-2</v>
      </c>
      <c r="CS8">
        <v>0.13822427150763161</v>
      </c>
      <c r="CT8">
        <v>0.18186923666666388</v>
      </c>
      <c r="CU8">
        <v>0.22721889634646431</v>
      </c>
      <c r="CV8">
        <v>0.29798498329655132</v>
      </c>
    </row>
    <row r="9" spans="1:100" x14ac:dyDescent="0.15">
      <c r="A9">
        <v>0.27818077336085323</v>
      </c>
      <c r="B9">
        <v>0.26347560094256239</v>
      </c>
      <c r="C9">
        <v>0.26213129985268807</v>
      </c>
      <c r="D9">
        <v>0.18835900454322554</v>
      </c>
      <c r="E9">
        <v>0.18359465978730019</v>
      </c>
      <c r="F9">
        <v>0.15895176535807465</v>
      </c>
      <c r="G9">
        <v>0.1450686116025707</v>
      </c>
      <c r="H9">
        <v>0.1304816891635549</v>
      </c>
      <c r="I9">
        <v>0.11550061002426382</v>
      </c>
      <c r="J9">
        <v>4.1663884400779672E-2</v>
      </c>
      <c r="K9">
        <v>2.552162480237994E-2</v>
      </c>
      <c r="L9">
        <v>-2.4447280479770166E-2</v>
      </c>
      <c r="M9">
        <v>-4.4459099115217324E-2</v>
      </c>
      <c r="N9">
        <v>-5.1227272667103745E-2</v>
      </c>
      <c r="O9">
        <v>-6.3450604323686627E-2</v>
      </c>
      <c r="P9">
        <v>-7.3290803700734777E-2</v>
      </c>
      <c r="Q9">
        <v>-7.4839504243939078E-2</v>
      </c>
      <c r="R9">
        <v>-7.7776939629729341E-2</v>
      </c>
      <c r="S9">
        <v>-7.8961557630118709E-2</v>
      </c>
      <c r="T9">
        <v>-8.8649468185528685E-2</v>
      </c>
      <c r="U9">
        <v>-9.2103362146193538E-2</v>
      </c>
      <c r="V9">
        <v>-9.9419307673302815E-2</v>
      </c>
      <c r="W9">
        <v>-0.10822737486356415</v>
      </c>
      <c r="X9">
        <v>-0.12798329639872019</v>
      </c>
      <c r="Y9">
        <v>-0.13254836656411698</v>
      </c>
      <c r="Z9">
        <v>-0.15319795730394856</v>
      </c>
      <c r="AA9">
        <v>-0.15340729981882772</v>
      </c>
      <c r="AB9">
        <v>-0.16313406958428628</v>
      </c>
      <c r="AC9">
        <v>-0.16937101900870083</v>
      </c>
      <c r="AD9">
        <v>-0.1694870717722215</v>
      </c>
      <c r="AE9">
        <v>-0.17506445558743633</v>
      </c>
      <c r="AF9">
        <v>-0.17879165304505176</v>
      </c>
      <c r="AG9">
        <v>-0.18111212326481749</v>
      </c>
      <c r="AH9">
        <v>-0.18149736693821708</v>
      </c>
      <c r="AI9">
        <v>-0.18151530505266261</v>
      </c>
      <c r="AJ9">
        <v>-0.18024235077184753</v>
      </c>
      <c r="AK9">
        <v>-0.17988372019352661</v>
      </c>
      <c r="AL9">
        <v>-0.17962588297883186</v>
      </c>
      <c r="AM9">
        <v>-0.17777348079279381</v>
      </c>
      <c r="AN9">
        <v>-0.16913132981061563</v>
      </c>
      <c r="AO9">
        <v>-0.16558320095534287</v>
      </c>
      <c r="AP9">
        <v>-0.15546982503413465</v>
      </c>
      <c r="AQ9">
        <v>-0.11656625592774003</v>
      </c>
      <c r="AR9">
        <v>-0.10673422696023591</v>
      </c>
      <c r="AS9">
        <v>-0.10252639653943062</v>
      </c>
      <c r="AT9">
        <v>-9.8079943192053584E-2</v>
      </c>
      <c r="AU9">
        <v>-8.6401695617989105E-2</v>
      </c>
      <c r="AV9">
        <v>-8.1227869671250563E-2</v>
      </c>
      <c r="AW9">
        <v>-7.6412293657256519E-2</v>
      </c>
      <c r="AX9">
        <v>-4.514176629503866E-2</v>
      </c>
      <c r="AY9">
        <v>-3.3101099217479314E-2</v>
      </c>
      <c r="AZ9">
        <v>-2.787489850243393E-2</v>
      </c>
      <c r="BA9">
        <v>-7.5925245754474707E-3</v>
      </c>
      <c r="BB9">
        <v>2.6636186245930976E-2</v>
      </c>
      <c r="BC9">
        <v>2.9947996128580331E-2</v>
      </c>
      <c r="BD9">
        <v>6.187651984661173E-2</v>
      </c>
      <c r="BE9">
        <v>0.10072837917533459</v>
      </c>
      <c r="BF9">
        <v>0.12376243825615027</v>
      </c>
      <c r="BG9">
        <v>0.13294309860787393</v>
      </c>
      <c r="BH9">
        <v>0.14978561386924791</v>
      </c>
      <c r="BI9">
        <v>0.18003175989883768</v>
      </c>
      <c r="BJ9">
        <v>0.2369879713446148</v>
      </c>
      <c r="BK9">
        <v>0.25105217918295003</v>
      </c>
      <c r="BL9">
        <v>0.26818588884944805</v>
      </c>
      <c r="BM9">
        <v>0.32953029598506478</v>
      </c>
      <c r="BN9">
        <v>0.33717409460309478</v>
      </c>
      <c r="BO9">
        <v>0.34456084464789405</v>
      </c>
      <c r="BP9">
        <v>0.34383021856912355</v>
      </c>
      <c r="BQ9">
        <v>0.34332725332945957</v>
      </c>
      <c r="BR9">
        <v>0.3419092488073856</v>
      </c>
      <c r="BS9">
        <v>0.33626836622460643</v>
      </c>
      <c r="BT9">
        <v>0.32512339882004038</v>
      </c>
      <c r="BU9">
        <v>0.31795861641516177</v>
      </c>
      <c r="BV9">
        <v>0.31732802013844541</v>
      </c>
      <c r="BW9">
        <v>0.30555816274584036</v>
      </c>
      <c r="BX9">
        <v>0.30494807610574837</v>
      </c>
      <c r="BY9">
        <v>0.28610399228097938</v>
      </c>
      <c r="BZ9">
        <v>0.2361514744312001</v>
      </c>
      <c r="CA9">
        <v>0.20564491430493703</v>
      </c>
      <c r="CB9">
        <v>0.20264721004667852</v>
      </c>
      <c r="CC9">
        <v>3.9792895054290511E-2</v>
      </c>
      <c r="CD9">
        <v>3.7714547532635478E-2</v>
      </c>
      <c r="CE9">
        <v>3.3295094548329907E-2</v>
      </c>
      <c r="CF9">
        <v>-2.0393196344878461E-2</v>
      </c>
      <c r="CG9">
        <v>-5.5951771771471037E-2</v>
      </c>
      <c r="CH9">
        <v>-0.17505562272605513</v>
      </c>
      <c r="CI9">
        <v>-0.44377444583437686</v>
      </c>
      <c r="CJ9">
        <v>-0.66298588389323854</v>
      </c>
      <c r="CK9">
        <v>-0.71273164141936007</v>
      </c>
      <c r="CL9">
        <v>-0.71633223168733551</v>
      </c>
      <c r="CM9">
        <v>-0.73542158870212404</v>
      </c>
      <c r="CN9">
        <v>-0.74368375082350369</v>
      </c>
      <c r="CO9">
        <v>-0.67833872918732396</v>
      </c>
      <c r="CP9">
        <v>-0.59538855372020549</v>
      </c>
      <c r="CQ9">
        <v>-0.56937183154625615</v>
      </c>
      <c r="CR9">
        <v>-0.30827976494746423</v>
      </c>
      <c r="CS9">
        <v>5.9745613035744327E-2</v>
      </c>
      <c r="CT9">
        <v>0.36796306104259457</v>
      </c>
      <c r="CU9">
        <v>0.77452386442488574</v>
      </c>
      <c r="CV9">
        <v>1.7029070914612703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9"/>
  <sheetViews>
    <sheetView workbookViewId="0">
      <selection sqref="A1:A9"/>
    </sheetView>
  </sheetViews>
  <sheetFormatPr defaultRowHeight="13.5" x14ac:dyDescent="0.15"/>
  <sheetData>
    <row r="1" spans="1:1" x14ac:dyDescent="0.15">
      <c r="A1">
        <f t="array" ref="A1:A9">MMULT(MPmatrix2!A1:CV9,data!B2:B101)</f>
        <v>0.38097586516423149</v>
      </c>
    </row>
    <row r="2" spans="1:1" x14ac:dyDescent="0.15">
      <c r="A2">
        <v>4.7197073630854494</v>
      </c>
    </row>
    <row r="3" spans="1:1" x14ac:dyDescent="0.15">
      <c r="A3">
        <v>-10.415400327342715</v>
      </c>
    </row>
    <row r="4" spans="1:1" x14ac:dyDescent="0.15">
      <c r="A4">
        <v>-4.3988558307271841</v>
      </c>
    </row>
    <row r="5" spans="1:1" x14ac:dyDescent="0.15">
      <c r="A5">
        <v>2.3697393008309882</v>
      </c>
    </row>
    <row r="6" spans="1:1" x14ac:dyDescent="0.15">
      <c r="A6">
        <v>5.3434330944809254</v>
      </c>
    </row>
    <row r="7" spans="1:1" x14ac:dyDescent="0.15">
      <c r="A7">
        <v>4.6778819962019806</v>
      </c>
    </row>
    <row r="8" spans="1:1" x14ac:dyDescent="0.15">
      <c r="A8">
        <v>1.3966136654729129</v>
      </c>
    </row>
    <row r="9" spans="1:1" x14ac:dyDescent="0.15">
      <c r="A9">
        <v>-3.5332840636134053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"/>
  <sheetViews>
    <sheetView workbookViewId="0">
      <selection activeCell="M2" sqref="M2"/>
    </sheetView>
  </sheetViews>
  <sheetFormatPr defaultRowHeight="13.5" x14ac:dyDescent="0.15"/>
  <sheetData>
    <row r="1" spans="1:15" x14ac:dyDescent="0.15">
      <c r="A1" t="s">
        <v>12</v>
      </c>
      <c r="B1" t="s">
        <v>11</v>
      </c>
      <c r="C1" t="s">
        <v>1</v>
      </c>
      <c r="D1" t="s">
        <v>14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O1" t="s">
        <v>25</v>
      </c>
    </row>
    <row r="2" spans="1:15" x14ac:dyDescent="0.15">
      <c r="A2">
        <v>0.6234700083732605</v>
      </c>
      <c r="B2">
        <v>-1.2959159425256501</v>
      </c>
      <c r="C2">
        <v>-0.70027663915345006</v>
      </c>
      <c r="D2">
        <v>-21.34447110345257</v>
      </c>
      <c r="E2">
        <v>-2.7563628176017513E-2</v>
      </c>
      <c r="F2">
        <v>15.323720274027993</v>
      </c>
      <c r="G2">
        <v>-127.98337640974955</v>
      </c>
      <c r="H2">
        <v>682.62247824212159</v>
      </c>
      <c r="I2">
        <v>-2261.1877480656944</v>
      </c>
      <c r="J2">
        <v>4438.6031798043823</v>
      </c>
      <c r="K2">
        <v>-5183.7819205787437</v>
      </c>
      <c r="L2">
        <v>3370.2259965390908</v>
      </c>
      <c r="M2">
        <v>-934.89075039216209</v>
      </c>
      <c r="O2">
        <v>1E-4</v>
      </c>
    </row>
    <row r="3" spans="1:15" x14ac:dyDescent="0.15">
      <c r="A3">
        <v>0.60937577486038208</v>
      </c>
      <c r="B3">
        <v>-0.30179057225877892</v>
      </c>
      <c r="C3">
        <v>-0.63439704762814719</v>
      </c>
      <c r="D3">
        <v>-17.776339005470582</v>
      </c>
      <c r="E3">
        <v>-2.555877265992482E-2</v>
      </c>
      <c r="F3">
        <v>15.324970241313398</v>
      </c>
      <c r="G3">
        <v>-127.98259709263566</v>
      </c>
      <c r="H3">
        <v>682.62296412296917</v>
      </c>
      <c r="I3">
        <v>-2261.1874451335584</v>
      </c>
      <c r="J3">
        <v>4438.6033686734836</v>
      </c>
      <c r="K3">
        <v>-5183.7818028245238</v>
      </c>
      <c r="L3">
        <v>3370.2260699553153</v>
      </c>
      <c r="M3">
        <v>-934.89070461934784</v>
      </c>
    </row>
    <row r="4" spans="1:15" x14ac:dyDescent="0.15">
      <c r="A4">
        <v>0.48765462636947632</v>
      </c>
      <c r="B4">
        <v>0.17070356622249735</v>
      </c>
      <c r="C4">
        <v>7.7490507671067341E-2</v>
      </c>
      <c r="D4">
        <v>-2.989920328747584</v>
      </c>
      <c r="E4">
        <v>-2.3811317816603641E-2</v>
      </c>
      <c r="F4">
        <v>15.326035097962581</v>
      </c>
      <c r="G4">
        <v>-127.98194819478995</v>
      </c>
      <c r="H4">
        <v>682.62335954559671</v>
      </c>
      <c r="I4">
        <v>-2261.1872041725883</v>
      </c>
      <c r="J4">
        <v>4438.6035155092613</v>
      </c>
      <c r="K4">
        <v>-5183.7817133463577</v>
      </c>
      <c r="L4">
        <v>3370.2261244811421</v>
      </c>
      <c r="M4">
        <v>-934.89067139263</v>
      </c>
    </row>
    <row r="5" spans="1:15" x14ac:dyDescent="0.15">
      <c r="A5">
        <v>0.93830686807632446</v>
      </c>
      <c r="B5">
        <v>-0.52302454202434279</v>
      </c>
      <c r="C5">
        <v>-0.37799474101551078</v>
      </c>
      <c r="D5">
        <v>-561.72012986463653</v>
      </c>
      <c r="E5">
        <v>-2.3495255427106634E-2</v>
      </c>
      <c r="F5">
        <v>15.32618922724904</v>
      </c>
      <c r="G5">
        <v>-127.98187303293035</v>
      </c>
      <c r="H5">
        <v>682.6233961986253</v>
      </c>
      <c r="I5">
        <v>-2261.1871862985695</v>
      </c>
      <c r="J5">
        <v>4438.6035242256094</v>
      </c>
      <c r="K5">
        <v>-5183.7817090957906</v>
      </c>
      <c r="L5">
        <v>3370.226126553951</v>
      </c>
      <c r="M5">
        <v>-934.8906703818152</v>
      </c>
    </row>
    <row r="6" spans="1:15" x14ac:dyDescent="0.15">
      <c r="A6">
        <v>0.40946024656295776</v>
      </c>
      <c r="B6">
        <v>0.28082643042714794</v>
      </c>
      <c r="C6">
        <v>0.53868713724203476</v>
      </c>
      <c r="D6">
        <v>-0.73865069469973288</v>
      </c>
      <c r="E6">
        <v>3.2624455105154583E-2</v>
      </c>
      <c r="F6">
        <v>15.378846737075916</v>
      </c>
      <c r="G6">
        <v>-127.932464129804</v>
      </c>
      <c r="H6">
        <v>682.66975691177288</v>
      </c>
      <c r="I6">
        <v>-2261.1436857230142</v>
      </c>
      <c r="J6">
        <v>4438.6443411144182</v>
      </c>
      <c r="K6">
        <v>-5183.7434103286878</v>
      </c>
      <c r="L6">
        <v>3370.2620625501622</v>
      </c>
      <c r="M6">
        <v>-934.85695138975882</v>
      </c>
    </row>
    <row r="7" spans="1:15" x14ac:dyDescent="0.15">
      <c r="A7">
        <v>0.88738948106765747</v>
      </c>
      <c r="B7">
        <v>-0.12105681386585286</v>
      </c>
      <c r="C7">
        <v>-0.64997592591886844</v>
      </c>
      <c r="D7">
        <v>-359.46728593883182</v>
      </c>
      <c r="E7">
        <v>3.2726402817667269E-2</v>
      </c>
      <c r="F7">
        <v>15.378888480611417</v>
      </c>
      <c r="G7">
        <v>-127.93244703748566</v>
      </c>
      <c r="H7">
        <v>682.66976391039771</v>
      </c>
      <c r="I7">
        <v>-2261.1436828573555</v>
      </c>
      <c r="J7">
        <v>4438.6443422877919</v>
      </c>
      <c r="K7">
        <v>-5183.7434098482381</v>
      </c>
      <c r="L7">
        <v>3370.2620627468873</v>
      </c>
      <c r="M7">
        <v>-934.85695130920772</v>
      </c>
    </row>
    <row r="8" spans="1:15" x14ac:dyDescent="0.15">
      <c r="A8">
        <v>0.82669204473495483</v>
      </c>
      <c r="B8">
        <v>-1.4774949244157001</v>
      </c>
      <c r="C8">
        <v>-0.88612969304695921</v>
      </c>
      <c r="D8">
        <v>-203.93361138059578</v>
      </c>
      <c r="E8">
        <v>6.866102573016386E-2</v>
      </c>
      <c r="F8">
        <v>15.4107764869901</v>
      </c>
      <c r="G8">
        <v>-127.904149956053</v>
      </c>
      <c r="H8">
        <v>682.69487444280594</v>
      </c>
      <c r="I8">
        <v>-2261.1214000350324</v>
      </c>
      <c r="J8">
        <v>4438.6641158299299</v>
      </c>
      <c r="K8">
        <v>-5183.7258630149418</v>
      </c>
      <c r="L8">
        <v>3370.2776336221809</v>
      </c>
      <c r="M8">
        <v>-934.84313387826114</v>
      </c>
    </row>
    <row r="9" spans="1:15" x14ac:dyDescent="0.15">
      <c r="A9">
        <v>0.5218701958656311</v>
      </c>
      <c r="B9">
        <v>-0.76080777650407294</v>
      </c>
      <c r="C9">
        <v>-0.13698244102004459</v>
      </c>
      <c r="D9">
        <v>-5.1432383384890494</v>
      </c>
      <c r="E9">
        <v>8.8906637375781861E-2</v>
      </c>
      <c r="F9">
        <v>15.427513373078325</v>
      </c>
      <c r="G9">
        <v>-127.89031370547023</v>
      </c>
      <c r="H9">
        <v>682.70631276109168</v>
      </c>
      <c r="I9">
        <v>-2261.1119440683005</v>
      </c>
      <c r="J9">
        <v>4438.6719330024025</v>
      </c>
      <c r="K9">
        <v>-5183.7194006206464</v>
      </c>
      <c r="L9">
        <v>3370.2829760321347</v>
      </c>
      <c r="M9">
        <v>-934.8387173504525</v>
      </c>
    </row>
    <row r="10" spans="1:15" x14ac:dyDescent="0.15">
      <c r="A10">
        <v>0.45156925916671753</v>
      </c>
      <c r="B10">
        <v>-3.9615718379260229E-2</v>
      </c>
      <c r="C10">
        <v>0.29962475932175092</v>
      </c>
      <c r="D10">
        <v>-1.6163359969101536</v>
      </c>
      <c r="E10">
        <v>8.9344880431980356E-2</v>
      </c>
      <c r="F10">
        <v>15.427742079067899</v>
      </c>
      <c r="G10">
        <v>-127.89019435063067</v>
      </c>
      <c r="H10">
        <v>682.70637504882518</v>
      </c>
      <c r="I10">
        <v>-2261.1119115621887</v>
      </c>
      <c r="J10">
        <v>4438.6719499663732</v>
      </c>
      <c r="K10">
        <v>-5183.7193917676559</v>
      </c>
      <c r="L10">
        <v>3370.2829806522468</v>
      </c>
      <c r="M10">
        <v>-934.83871493935374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.GenSeqData">
                <anchor moveWithCells="1">
                  <from>
                    <xdr:col>13</xdr:col>
                    <xdr:colOff>419100</xdr:colOff>
                    <xdr:row>4</xdr:row>
                    <xdr:rowOff>85725</xdr:rowOff>
                  </from>
                  <to>
                    <xdr:col>14</xdr:col>
                    <xdr:colOff>523875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data</vt:lpstr>
      <vt:lpstr>dmatrix</vt:lpstr>
      <vt:lpstr>trans</vt:lpstr>
      <vt:lpstr>multi</vt:lpstr>
      <vt:lpstr>inv</vt:lpstr>
      <vt:lpstr>MPmatrix</vt:lpstr>
      <vt:lpstr>w_ML</vt:lpstr>
      <vt:lpstr>regular</vt:lpstr>
      <vt:lpstr>plus</vt:lpstr>
      <vt:lpstr>inv2</vt:lpstr>
      <vt:lpstr>MPmatrix2</vt:lpstr>
      <vt:lpstr>w_ML2</vt:lpstr>
      <vt:lpstr>seq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tokumoto</dc:creator>
  <cp:lastModifiedBy>Tokumoto, Susumu/徳本 晋</cp:lastModifiedBy>
  <dcterms:created xsi:type="dcterms:W3CDTF">2014-10-21T07:07:21Z</dcterms:created>
  <dcterms:modified xsi:type="dcterms:W3CDTF">2014-10-23T08:09:13Z</dcterms:modified>
</cp:coreProperties>
</file>